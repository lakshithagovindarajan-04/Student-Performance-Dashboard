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6e0ba0a7f4757fbd/Documents/"/>
    </mc:Choice>
  </mc:AlternateContent>
  <xr:revisionPtr revIDLastSave="0" documentId="8_{0100EA1C-65E4-4F9A-9ABF-077B09BAB348}" xr6:coauthVersionLast="47" xr6:coauthVersionMax="47" xr10:uidLastSave="{00000000-0000-0000-0000-000000000000}"/>
  <bookViews>
    <workbookView xWindow="-108" yWindow="-108" windowWidth="23256" windowHeight="12456" xr2:uid="{200F66F0-8348-42E6-AE4D-9C52A8776DD6}"/>
  </bookViews>
  <sheets>
    <sheet name="Sheet1" sheetId="1" r:id="rId1"/>
    <sheet name="pivot table" sheetId="3" r:id="rId2"/>
    <sheet name="Dashboard " sheetId="7" r:id="rId3"/>
  </sheets>
  <definedNames>
    <definedName name="_xlnm._FilterDatabase" localSheetId="0" hidden="1">Sheet1!$A$1:$K$21</definedName>
    <definedName name="Slicer_gender">#N/A</definedName>
    <definedName name="Slicer_range">#N/A</definedName>
  </definedNames>
  <calcPr calcId="191029"/>
  <pivotCaches>
    <pivotCache cacheId="29" r:id="rId4"/>
    <pivotCache cacheId="30" r:id="rId5"/>
    <pivotCache cacheId="3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1" i="1" l="1"/>
  <c r="I20" i="1"/>
  <c r="I19" i="1"/>
  <c r="I18" i="1"/>
  <c r="I17" i="1"/>
  <c r="I16" i="1"/>
  <c r="I15" i="1"/>
  <c r="I14" i="1"/>
  <c r="I13" i="1"/>
  <c r="I12" i="1"/>
  <c r="I11" i="1"/>
  <c r="I10" i="1"/>
  <c r="I9" i="1"/>
  <c r="I8" i="1"/>
  <c r="I7" i="1"/>
  <c r="I6" i="1"/>
  <c r="I5" i="1"/>
  <c r="I4" i="1"/>
  <c r="I3" i="1"/>
  <c r="J15" i="1" s="1"/>
  <c r="K15" i="1" s="1"/>
  <c r="I2" i="1"/>
  <c r="J14" i="1" l="1"/>
  <c r="K14" i="1" s="1"/>
  <c r="J13" i="1"/>
  <c r="K13" i="1" s="1"/>
  <c r="J12" i="1"/>
  <c r="K12" i="1" s="1"/>
  <c r="J10" i="1"/>
  <c r="K10" i="1" s="1"/>
  <c r="J9" i="1"/>
  <c r="K9" i="1" s="1"/>
  <c r="J2" i="1"/>
  <c r="K2" i="1" s="1"/>
  <c r="J8" i="1"/>
  <c r="K8" i="1" s="1"/>
  <c r="J21" i="1"/>
  <c r="K21" i="1" s="1"/>
  <c r="J7" i="1"/>
  <c r="K7" i="1" s="1"/>
  <c r="J20" i="1"/>
  <c r="K20" i="1" s="1"/>
  <c r="J6" i="1"/>
  <c r="K6" i="1" s="1"/>
  <c r="J19" i="1"/>
  <c r="K19" i="1" s="1"/>
  <c r="J5" i="1"/>
  <c r="K5" i="1" s="1"/>
  <c r="J18" i="1"/>
  <c r="K18" i="1" s="1"/>
  <c r="J4" i="1"/>
  <c r="K4" i="1" s="1"/>
  <c r="J17" i="1"/>
  <c r="K17" i="1" s="1"/>
  <c r="J3" i="1"/>
  <c r="K3" i="1" s="1"/>
  <c r="J16" i="1"/>
  <c r="K16" i="1" s="1"/>
  <c r="J11" i="1"/>
  <c r="K11" i="1" s="1"/>
</calcChain>
</file>

<file path=xl/sharedStrings.xml><?xml version="1.0" encoding="utf-8"?>
<sst xmlns="http://schemas.openxmlformats.org/spreadsheetml/2006/main" count="144" uniqueCount="73">
  <si>
    <t>id</t>
  </si>
  <si>
    <t>Name</t>
  </si>
  <si>
    <t>gender</t>
  </si>
  <si>
    <t>Phone</t>
  </si>
  <si>
    <t>email</t>
  </si>
  <si>
    <t>Physics</t>
  </si>
  <si>
    <t>Chemistry</t>
  </si>
  <si>
    <t>Maths</t>
  </si>
  <si>
    <t>Total</t>
  </si>
  <si>
    <t>rank</t>
  </si>
  <si>
    <t>range</t>
  </si>
  <si>
    <t>sIBilla CLEmmensen</t>
  </si>
  <si>
    <t>Female</t>
  </si>
  <si>
    <t>sclemmensen0@ifeng.com</t>
  </si>
  <si>
    <t>WENDYE grouvel</t>
  </si>
  <si>
    <t>wgrouvel1@sakura.ne.jp</t>
  </si>
  <si>
    <t>ReGGIe pawLYN</t>
  </si>
  <si>
    <t>Male</t>
  </si>
  <si>
    <t>rpawlyn2@amazon.co.uk</t>
  </si>
  <si>
    <t>orland HUMBee</t>
  </si>
  <si>
    <t>ohumbee3@prlog.org</t>
  </si>
  <si>
    <t>ERastus gummory</t>
  </si>
  <si>
    <t>egummory4@ustream.tv</t>
  </si>
  <si>
    <t>kANDY knagGs</t>
  </si>
  <si>
    <t>kknaggs5@opensource.org</t>
  </si>
  <si>
    <t>LEK EWENson</t>
  </si>
  <si>
    <t>lewenson6@canalblog.com</t>
  </si>
  <si>
    <t>wERNER franceschelli</t>
  </si>
  <si>
    <t>wfranceschelli7@ezinearticles.com</t>
  </si>
  <si>
    <t>ALister THAke</t>
  </si>
  <si>
    <t>athake8@pagesperso-orange.fr</t>
  </si>
  <si>
    <t>barCLAY djURDjevic</t>
  </si>
  <si>
    <t>bdjurdjevic9@cocolog-nifty.com</t>
  </si>
  <si>
    <t>wendi VINEAll</t>
  </si>
  <si>
    <t>wvinealla@cnn.com</t>
  </si>
  <si>
    <t>MayNe raxWorthy</t>
  </si>
  <si>
    <t>mraxworthyb@sciencedaily.com</t>
  </si>
  <si>
    <t>KENTon kropach</t>
  </si>
  <si>
    <t>kkropachc@vistaprint.com</t>
  </si>
  <si>
    <t>LOTta matteacci</t>
  </si>
  <si>
    <t>lmatteaccid@aboutads.info</t>
  </si>
  <si>
    <t>patricia KENN</t>
  </si>
  <si>
    <t>pkenne@scientificamerican.com</t>
  </si>
  <si>
    <t>moRTIE pratley</t>
  </si>
  <si>
    <t>mpratleyf@paginegialle.it</t>
  </si>
  <si>
    <t>TIMothy Tann</t>
  </si>
  <si>
    <t>ttanng@sina.com.cn</t>
  </si>
  <si>
    <t>GUTHRIE milborn</t>
  </si>
  <si>
    <t>gmilbornh@scientificamerican.com</t>
  </si>
  <si>
    <t>DAL wilCOTT</t>
  </si>
  <si>
    <t>dwilcotti@live.com</t>
  </si>
  <si>
    <t>paddie WallBROOK</t>
  </si>
  <si>
    <t>pwallbrookj@cam.ac.uk</t>
  </si>
  <si>
    <t>1-10</t>
  </si>
  <si>
    <t>11-20</t>
  </si>
  <si>
    <t>21-30</t>
  </si>
  <si>
    <t>31-40</t>
  </si>
  <si>
    <t>Row Labels</t>
  </si>
  <si>
    <t>Grand Total</t>
  </si>
  <si>
    <t>Column Labels</t>
  </si>
  <si>
    <t>Sum of Total</t>
  </si>
  <si>
    <t>Average of Total</t>
  </si>
  <si>
    <t>Sum of Physics</t>
  </si>
  <si>
    <t>Sum of Chemistry</t>
  </si>
  <si>
    <t>Sum of Maths</t>
  </si>
  <si>
    <t>Average of Physics</t>
  </si>
  <si>
    <t>Average of Chemistry</t>
  </si>
  <si>
    <t>Average of Maths</t>
  </si>
  <si>
    <t>Count of id</t>
  </si>
  <si>
    <t>Student Performance Dashboard</t>
  </si>
  <si>
    <t>Highest Score : 286</t>
  </si>
  <si>
    <t>Lowest Score : 57</t>
  </si>
  <si>
    <t>Median Score : 146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</si>
</sst>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2"/>
      <color theme="1"/>
      <name val="Aptos Narrow"/>
      <family val="2"/>
    </font>
    <font>
      <sz val="10"/>
      <color theme="1"/>
      <name val="Arial"/>
      <family val="2"/>
    </font>
    <font>
      <sz val="12"/>
      <color theme="1"/>
      <name val="Arial"/>
      <family val="2"/>
    </font>
    <font>
      <sz val="22"/>
      <color theme="1"/>
      <name val="Calibri"/>
      <family val="2"/>
      <scheme val="minor"/>
    </font>
    <font>
      <b/>
      <i/>
      <sz val="36"/>
      <color theme="0"/>
      <name val="Times New Roman"/>
      <family val="1"/>
    </font>
    <font>
      <sz val="22"/>
      <color theme="0"/>
      <name val="Times New Roman"/>
      <family val="1"/>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indexed="64"/>
      </patternFill>
    </fill>
    <fill>
      <patternFill patternType="solid">
        <fgColor theme="5"/>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4" fillId="0" borderId="0" xfId="0" applyFont="1"/>
    <xf numFmtId="16" fontId="0" fillId="0" borderId="0" xfId="0" quotePrefix="1" applyNumberFormat="1"/>
    <xf numFmtId="0" fontId="0" fillId="0" borderId="0" xfId="0" quotePrefix="1"/>
    <xf numFmtId="0" fontId="0" fillId="0" borderId="0" xfId="0" pivotButton="1"/>
    <xf numFmtId="0" fontId="0" fillId="0" borderId="0" xfId="0" applyAlignment="1">
      <alignment horizontal="left"/>
    </xf>
    <xf numFmtId="0" fontId="1" fillId="2" borderId="1" xfId="0" applyFont="1" applyFill="1" applyBorder="1"/>
    <xf numFmtId="1" fontId="0" fillId="0" borderId="0" xfId="0" applyNumberFormat="1"/>
    <xf numFmtId="0" fontId="0" fillId="0" borderId="0" xfId="0" applyAlignment="1">
      <alignment vertical="center"/>
    </xf>
    <xf numFmtId="0" fontId="6" fillId="3" borderId="0" xfId="0" applyFont="1" applyFill="1" applyAlignment="1">
      <alignment horizontal="center" vertical="center"/>
    </xf>
    <xf numFmtId="0" fontId="7" fillId="4" borderId="0" xfId="0" applyFont="1" applyFill="1" applyAlignment="1">
      <alignment horizontal="center" vertical="center"/>
    </xf>
    <xf numFmtId="0" fontId="5" fillId="4" borderId="0" xfId="0" applyFont="1" applyFill="1" applyAlignment="1">
      <alignment horizontal="center" vertical="center"/>
    </xf>
  </cellXfs>
  <cellStyles count="1">
    <cellStyle name="Normal" xfId="0" builtinId="0"/>
  </cellStyles>
  <dxfs count="33">
    <dxf>
      <numFmt numFmtId="1" formatCode="0"/>
    </dxf>
    <dxf>
      <numFmt numFmtId="1" formatCode="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Dashboard excel project .xlsx]pivot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of Total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1-10</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222</c:v>
                </c:pt>
                <c:pt idx="1">
                  <c:v>213.11111111111111</c:v>
                </c:pt>
              </c:numCache>
            </c:numRef>
          </c:val>
          <c:extLst>
            <c:ext xmlns:c16="http://schemas.microsoft.com/office/drawing/2014/chart" uri="{C3380CC4-5D6E-409C-BE32-E72D297353CC}">
              <c16:uniqueId val="{00000000-514A-4BA1-931E-CFB3A98F7AF0}"/>
            </c:ext>
          </c:extLst>
        </c:ser>
        <c:ser>
          <c:idx val="1"/>
          <c:order val="1"/>
          <c:tx>
            <c:strRef>
              <c:f>'pivot table'!$C$1:$C$2</c:f>
              <c:strCache>
                <c:ptCount val="1"/>
                <c:pt idx="0">
                  <c:v>11-20</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110.6</c:v>
                </c:pt>
                <c:pt idx="1">
                  <c:v>112.8</c:v>
                </c:pt>
              </c:numCache>
            </c:numRef>
          </c:val>
          <c:extLst>
            <c:ext xmlns:c16="http://schemas.microsoft.com/office/drawing/2014/chart" uri="{C3380CC4-5D6E-409C-BE32-E72D297353CC}">
              <c16:uniqueId val="{00000000-A458-468A-9356-3028EC303D3D}"/>
            </c:ext>
          </c:extLst>
        </c:ser>
        <c:dLbls>
          <c:showLegendKey val="0"/>
          <c:showVal val="0"/>
          <c:showCatName val="0"/>
          <c:showSerName val="0"/>
          <c:showPercent val="0"/>
          <c:showBubbleSize val="0"/>
        </c:dLbls>
        <c:gapWidth val="219"/>
        <c:overlap val="-27"/>
        <c:axId val="580398768"/>
        <c:axId val="580399248"/>
      </c:barChart>
      <c:catAx>
        <c:axId val="580398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399248"/>
        <c:crosses val="autoZero"/>
        <c:auto val="1"/>
        <c:lblAlgn val="ctr"/>
        <c:lblOffset val="100"/>
        <c:noMultiLvlLbl val="0"/>
      </c:catAx>
      <c:valAx>
        <c:axId val="580399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3987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Dashboard excel project .xlsx]pivot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subject scored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table'!$B$18</c:f>
              <c:strCache>
                <c:ptCount val="1"/>
                <c:pt idx="0">
                  <c:v>Average of Physics</c:v>
                </c:pt>
              </c:strCache>
            </c:strRef>
          </c:tx>
          <c:spPr>
            <a:solidFill>
              <a:schemeClr val="accent1"/>
            </a:solidFill>
            <a:ln>
              <a:noFill/>
            </a:ln>
            <a:effectLst/>
          </c:spPr>
          <c:invertIfNegative val="0"/>
          <c:cat>
            <c:strRef>
              <c:f>'pivot table'!$A$19:$A$21</c:f>
              <c:strCache>
                <c:ptCount val="2"/>
                <c:pt idx="0">
                  <c:v>Female</c:v>
                </c:pt>
                <c:pt idx="1">
                  <c:v>Male</c:v>
                </c:pt>
              </c:strCache>
            </c:strRef>
          </c:cat>
          <c:val>
            <c:numRef>
              <c:f>'pivot table'!$B$19:$B$21</c:f>
              <c:numCache>
                <c:formatCode>0</c:formatCode>
                <c:ptCount val="2"/>
                <c:pt idx="0">
                  <c:v>35</c:v>
                </c:pt>
                <c:pt idx="1">
                  <c:v>55.857142857142854</c:v>
                </c:pt>
              </c:numCache>
            </c:numRef>
          </c:val>
          <c:extLst>
            <c:ext xmlns:c16="http://schemas.microsoft.com/office/drawing/2014/chart" uri="{C3380CC4-5D6E-409C-BE32-E72D297353CC}">
              <c16:uniqueId val="{00000000-B782-4C33-BDC6-22DF35481B99}"/>
            </c:ext>
          </c:extLst>
        </c:ser>
        <c:ser>
          <c:idx val="1"/>
          <c:order val="1"/>
          <c:tx>
            <c:strRef>
              <c:f>'pivot table'!$C$18</c:f>
              <c:strCache>
                <c:ptCount val="1"/>
                <c:pt idx="0">
                  <c:v>Average of Chemistry</c:v>
                </c:pt>
              </c:strCache>
            </c:strRef>
          </c:tx>
          <c:spPr>
            <a:solidFill>
              <a:schemeClr val="accent2"/>
            </a:solidFill>
            <a:ln>
              <a:noFill/>
            </a:ln>
            <a:effectLst/>
          </c:spPr>
          <c:invertIfNegative val="0"/>
          <c:cat>
            <c:strRef>
              <c:f>'pivot table'!$A$19:$A$21</c:f>
              <c:strCache>
                <c:ptCount val="2"/>
                <c:pt idx="0">
                  <c:v>Female</c:v>
                </c:pt>
                <c:pt idx="1">
                  <c:v>Male</c:v>
                </c:pt>
              </c:strCache>
            </c:strRef>
          </c:cat>
          <c:val>
            <c:numRef>
              <c:f>'pivot table'!$C$19:$C$21</c:f>
              <c:numCache>
                <c:formatCode>0</c:formatCode>
                <c:ptCount val="2"/>
                <c:pt idx="0">
                  <c:v>38.333333333333336</c:v>
                </c:pt>
                <c:pt idx="1">
                  <c:v>57.428571428571431</c:v>
                </c:pt>
              </c:numCache>
            </c:numRef>
          </c:val>
          <c:extLst>
            <c:ext xmlns:c16="http://schemas.microsoft.com/office/drawing/2014/chart" uri="{C3380CC4-5D6E-409C-BE32-E72D297353CC}">
              <c16:uniqueId val="{00000001-B782-4C33-BDC6-22DF35481B99}"/>
            </c:ext>
          </c:extLst>
        </c:ser>
        <c:ser>
          <c:idx val="2"/>
          <c:order val="2"/>
          <c:tx>
            <c:strRef>
              <c:f>'pivot table'!$D$18</c:f>
              <c:strCache>
                <c:ptCount val="1"/>
                <c:pt idx="0">
                  <c:v>Average of Maths</c:v>
                </c:pt>
              </c:strCache>
            </c:strRef>
          </c:tx>
          <c:spPr>
            <a:solidFill>
              <a:schemeClr val="accent3"/>
            </a:solidFill>
            <a:ln>
              <a:noFill/>
            </a:ln>
            <a:effectLst/>
          </c:spPr>
          <c:invertIfNegative val="0"/>
          <c:cat>
            <c:strRef>
              <c:f>'pivot table'!$A$19:$A$21</c:f>
              <c:strCache>
                <c:ptCount val="2"/>
                <c:pt idx="0">
                  <c:v>Female</c:v>
                </c:pt>
                <c:pt idx="1">
                  <c:v>Male</c:v>
                </c:pt>
              </c:strCache>
            </c:strRef>
          </c:cat>
          <c:val>
            <c:numRef>
              <c:f>'pivot table'!$D$19:$D$21</c:f>
              <c:numCache>
                <c:formatCode>0</c:formatCode>
                <c:ptCount val="2"/>
                <c:pt idx="0">
                  <c:v>55.833333333333336</c:v>
                </c:pt>
                <c:pt idx="1">
                  <c:v>64</c:v>
                </c:pt>
              </c:numCache>
            </c:numRef>
          </c:val>
          <c:extLst>
            <c:ext xmlns:c16="http://schemas.microsoft.com/office/drawing/2014/chart" uri="{C3380CC4-5D6E-409C-BE32-E72D297353CC}">
              <c16:uniqueId val="{00000002-B782-4C33-BDC6-22DF35481B99}"/>
            </c:ext>
          </c:extLst>
        </c:ser>
        <c:dLbls>
          <c:showLegendKey val="0"/>
          <c:showVal val="0"/>
          <c:showCatName val="0"/>
          <c:showSerName val="0"/>
          <c:showPercent val="0"/>
          <c:showBubbleSize val="0"/>
        </c:dLbls>
        <c:gapWidth val="182"/>
        <c:axId val="988062352"/>
        <c:axId val="988081072"/>
      </c:barChart>
      <c:catAx>
        <c:axId val="988062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081072"/>
        <c:crosses val="autoZero"/>
        <c:auto val="1"/>
        <c:lblAlgn val="ctr"/>
        <c:lblOffset val="100"/>
        <c:noMultiLvlLbl val="0"/>
      </c:catAx>
      <c:valAx>
        <c:axId val="9880810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Subjects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06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Dashboard excel project .xlsx]pivot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ID by Name &amp;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table'!$B$36:$B$37</c:f>
              <c:strCache>
                <c:ptCount val="1"/>
                <c:pt idx="0">
                  <c:v>1-10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B5-474D-9E3E-D8EA1340EC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B5-474D-9E3E-D8EA1340EC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table'!$A$38:$A$40</c:f>
              <c:strCache>
                <c:ptCount val="2"/>
                <c:pt idx="0">
                  <c:v>Female</c:v>
                </c:pt>
                <c:pt idx="1">
                  <c:v>Male</c:v>
                </c:pt>
              </c:strCache>
            </c:strRef>
          </c:cat>
          <c:val>
            <c:numRef>
              <c:f>'pivot table'!$B$38:$B$40</c:f>
              <c:numCache>
                <c:formatCode>General</c:formatCode>
                <c:ptCount val="2"/>
                <c:pt idx="0">
                  <c:v>1</c:v>
                </c:pt>
                <c:pt idx="1">
                  <c:v>9</c:v>
                </c:pt>
              </c:numCache>
            </c:numRef>
          </c:val>
          <c:extLst>
            <c:ext xmlns:c16="http://schemas.microsoft.com/office/drawing/2014/chart" uri="{C3380CC4-5D6E-409C-BE32-E72D297353CC}">
              <c16:uniqueId val="{00000000-CB30-4D19-ACB0-79E646081952}"/>
            </c:ext>
          </c:extLst>
        </c:ser>
        <c:ser>
          <c:idx val="1"/>
          <c:order val="1"/>
          <c:tx>
            <c:strRef>
              <c:f>'pivot table'!$C$36:$C$37</c:f>
              <c:strCache>
                <c:ptCount val="1"/>
                <c:pt idx="0">
                  <c:v>11-20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8B5-474D-9E3E-D8EA1340EC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8B5-474D-9E3E-D8EA1340EC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table'!$A$38:$A$40</c:f>
              <c:strCache>
                <c:ptCount val="2"/>
                <c:pt idx="0">
                  <c:v>Female</c:v>
                </c:pt>
                <c:pt idx="1">
                  <c:v>Male</c:v>
                </c:pt>
              </c:strCache>
            </c:strRef>
          </c:cat>
          <c:val>
            <c:numRef>
              <c:f>'pivot table'!$C$38:$C$40</c:f>
              <c:numCache>
                <c:formatCode>General</c:formatCode>
                <c:ptCount val="2"/>
                <c:pt idx="0">
                  <c:v>5</c:v>
                </c:pt>
                <c:pt idx="1">
                  <c:v>5</c:v>
                </c:pt>
              </c:numCache>
            </c:numRef>
          </c:val>
          <c:extLst>
            <c:ext xmlns:c16="http://schemas.microsoft.com/office/drawing/2014/chart" uri="{C3380CC4-5D6E-409C-BE32-E72D297353CC}">
              <c16:uniqueId val="{00000001-CB30-4D19-ACB0-79E6460819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Dashboard excel project .xlsx]pivot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Subjects by range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c:f>
              <c:strCache>
                <c:ptCount val="1"/>
                <c:pt idx="0">
                  <c:v>Sum of Physics</c:v>
                </c:pt>
              </c:strCache>
            </c:strRef>
          </c:tx>
          <c:spPr>
            <a:ln w="28575" cap="rnd">
              <a:solidFill>
                <a:schemeClr val="accent1"/>
              </a:solidFill>
              <a:round/>
            </a:ln>
            <a:effectLst/>
          </c:spPr>
          <c:marker>
            <c:symbol val="none"/>
          </c:marker>
          <c:cat>
            <c:strRef>
              <c:f>'pivot table'!$A$56:$A$58</c:f>
              <c:strCache>
                <c:ptCount val="2"/>
                <c:pt idx="0">
                  <c:v>1-10</c:v>
                </c:pt>
                <c:pt idx="1">
                  <c:v>11-20</c:v>
                </c:pt>
              </c:strCache>
            </c:strRef>
          </c:cat>
          <c:val>
            <c:numRef>
              <c:f>'pivot table'!$B$56:$B$58</c:f>
              <c:numCache>
                <c:formatCode>General</c:formatCode>
                <c:ptCount val="2"/>
                <c:pt idx="0">
                  <c:v>733</c:v>
                </c:pt>
                <c:pt idx="1">
                  <c:v>259</c:v>
                </c:pt>
              </c:numCache>
            </c:numRef>
          </c:val>
          <c:smooth val="0"/>
          <c:extLst>
            <c:ext xmlns:c16="http://schemas.microsoft.com/office/drawing/2014/chart" uri="{C3380CC4-5D6E-409C-BE32-E72D297353CC}">
              <c16:uniqueId val="{00000000-3900-41D9-9A18-1314BB86B28B}"/>
            </c:ext>
          </c:extLst>
        </c:ser>
        <c:ser>
          <c:idx val="1"/>
          <c:order val="1"/>
          <c:tx>
            <c:strRef>
              <c:f>'pivot table'!$C$55</c:f>
              <c:strCache>
                <c:ptCount val="1"/>
                <c:pt idx="0">
                  <c:v>Sum of Maths</c:v>
                </c:pt>
              </c:strCache>
            </c:strRef>
          </c:tx>
          <c:spPr>
            <a:ln w="28575" cap="rnd">
              <a:solidFill>
                <a:schemeClr val="accent2"/>
              </a:solidFill>
              <a:round/>
            </a:ln>
            <a:effectLst/>
          </c:spPr>
          <c:marker>
            <c:symbol val="none"/>
          </c:marker>
          <c:cat>
            <c:strRef>
              <c:f>'pivot table'!$A$56:$A$58</c:f>
              <c:strCache>
                <c:ptCount val="2"/>
                <c:pt idx="0">
                  <c:v>1-10</c:v>
                </c:pt>
                <c:pt idx="1">
                  <c:v>11-20</c:v>
                </c:pt>
              </c:strCache>
            </c:strRef>
          </c:cat>
          <c:val>
            <c:numRef>
              <c:f>'pivot table'!$C$56:$C$58</c:f>
              <c:numCache>
                <c:formatCode>General</c:formatCode>
                <c:ptCount val="2"/>
                <c:pt idx="0">
                  <c:v>656</c:v>
                </c:pt>
                <c:pt idx="1">
                  <c:v>575</c:v>
                </c:pt>
              </c:numCache>
            </c:numRef>
          </c:val>
          <c:smooth val="0"/>
          <c:extLst>
            <c:ext xmlns:c16="http://schemas.microsoft.com/office/drawing/2014/chart" uri="{C3380CC4-5D6E-409C-BE32-E72D297353CC}">
              <c16:uniqueId val="{00000001-3900-41D9-9A18-1314BB86B28B}"/>
            </c:ext>
          </c:extLst>
        </c:ser>
        <c:ser>
          <c:idx val="2"/>
          <c:order val="2"/>
          <c:tx>
            <c:strRef>
              <c:f>'pivot table'!$D$55</c:f>
              <c:strCache>
                <c:ptCount val="1"/>
                <c:pt idx="0">
                  <c:v>Sum of Chemistry</c:v>
                </c:pt>
              </c:strCache>
            </c:strRef>
          </c:tx>
          <c:spPr>
            <a:ln w="28575" cap="rnd">
              <a:solidFill>
                <a:schemeClr val="accent3"/>
              </a:solidFill>
              <a:round/>
            </a:ln>
            <a:effectLst/>
          </c:spPr>
          <c:marker>
            <c:symbol val="none"/>
          </c:marker>
          <c:cat>
            <c:strRef>
              <c:f>'pivot table'!$A$56:$A$58</c:f>
              <c:strCache>
                <c:ptCount val="2"/>
                <c:pt idx="0">
                  <c:v>1-10</c:v>
                </c:pt>
                <c:pt idx="1">
                  <c:v>11-20</c:v>
                </c:pt>
              </c:strCache>
            </c:strRef>
          </c:cat>
          <c:val>
            <c:numRef>
              <c:f>'pivot table'!$D$56:$D$58</c:f>
              <c:numCache>
                <c:formatCode>General</c:formatCode>
                <c:ptCount val="2"/>
                <c:pt idx="0">
                  <c:v>751</c:v>
                </c:pt>
                <c:pt idx="1">
                  <c:v>283</c:v>
                </c:pt>
              </c:numCache>
            </c:numRef>
          </c:val>
          <c:smooth val="0"/>
          <c:extLst>
            <c:ext xmlns:c16="http://schemas.microsoft.com/office/drawing/2014/chart" uri="{C3380CC4-5D6E-409C-BE32-E72D297353CC}">
              <c16:uniqueId val="{00000002-3900-41D9-9A18-1314BB86B28B}"/>
            </c:ext>
          </c:extLst>
        </c:ser>
        <c:dLbls>
          <c:showLegendKey val="0"/>
          <c:showVal val="0"/>
          <c:showCatName val="0"/>
          <c:showSerName val="0"/>
          <c:showPercent val="0"/>
          <c:showBubbleSize val="0"/>
        </c:dLbls>
        <c:smooth val="0"/>
        <c:axId val="1132277472"/>
        <c:axId val="1132277952"/>
      </c:lineChart>
      <c:catAx>
        <c:axId val="113227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277952"/>
        <c:crosses val="autoZero"/>
        <c:auto val="1"/>
        <c:lblAlgn val="ctr"/>
        <c:lblOffset val="100"/>
        <c:noMultiLvlLbl val="0"/>
      </c:catAx>
      <c:valAx>
        <c:axId val="1132277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Subjects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27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3 Marks scored by Students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'pivot table'!$D$76</c:f>
              <c:strCache>
                <c:ptCount val="1"/>
                <c:pt idx="0">
                  <c:v>KENTon kropach</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table'!$E$75</c:f>
              <c:strCache>
                <c:ptCount val="1"/>
                <c:pt idx="0">
                  <c:v>Sum of Total</c:v>
                </c:pt>
              </c:strCache>
            </c:strRef>
          </c:cat>
          <c:val>
            <c:numRef>
              <c:f>'pivot table'!$E$76</c:f>
              <c:numCache>
                <c:formatCode>General</c:formatCode>
                <c:ptCount val="1"/>
                <c:pt idx="0">
                  <c:v>286</c:v>
                </c:pt>
              </c:numCache>
            </c:numRef>
          </c:val>
          <c:extLst>
            <c:ext xmlns:c16="http://schemas.microsoft.com/office/drawing/2014/chart" uri="{C3380CC4-5D6E-409C-BE32-E72D297353CC}">
              <c16:uniqueId val="{00000000-BECF-4286-931C-D69DAB6C974C}"/>
            </c:ext>
          </c:extLst>
        </c:ser>
        <c:ser>
          <c:idx val="1"/>
          <c:order val="1"/>
          <c:tx>
            <c:strRef>
              <c:f>'pivot table'!$D$77</c:f>
              <c:strCache>
                <c:ptCount val="1"/>
                <c:pt idx="0">
                  <c:v>MayNe raxWorthy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table'!$E$75</c:f>
              <c:strCache>
                <c:ptCount val="1"/>
                <c:pt idx="0">
                  <c:v>Sum of Total</c:v>
                </c:pt>
              </c:strCache>
            </c:strRef>
          </c:cat>
          <c:val>
            <c:numRef>
              <c:f>'pivot table'!$E$77</c:f>
              <c:numCache>
                <c:formatCode>General</c:formatCode>
                <c:ptCount val="1"/>
                <c:pt idx="0">
                  <c:v>236</c:v>
                </c:pt>
              </c:numCache>
            </c:numRef>
          </c:val>
          <c:extLst>
            <c:ext xmlns:c16="http://schemas.microsoft.com/office/drawing/2014/chart" uri="{C3380CC4-5D6E-409C-BE32-E72D297353CC}">
              <c16:uniqueId val="{00000001-BECF-4286-931C-D69DAB6C974C}"/>
            </c:ext>
          </c:extLst>
        </c:ser>
        <c:ser>
          <c:idx val="2"/>
          <c:order val="2"/>
          <c:tx>
            <c:strRef>
              <c:f>'pivot table'!$D$78</c:f>
              <c:strCache>
                <c:ptCount val="1"/>
                <c:pt idx="0">
                  <c:v>moRTIE pratley</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table'!$E$75</c:f>
              <c:strCache>
                <c:ptCount val="1"/>
                <c:pt idx="0">
                  <c:v>Sum of Total</c:v>
                </c:pt>
              </c:strCache>
            </c:strRef>
          </c:cat>
          <c:val>
            <c:numRef>
              <c:f>'pivot table'!$E$78</c:f>
              <c:numCache>
                <c:formatCode>General</c:formatCode>
                <c:ptCount val="1"/>
                <c:pt idx="0">
                  <c:v>224</c:v>
                </c:pt>
              </c:numCache>
            </c:numRef>
          </c:val>
          <c:extLst>
            <c:ext xmlns:c16="http://schemas.microsoft.com/office/drawing/2014/chart" uri="{C3380CC4-5D6E-409C-BE32-E72D297353CC}">
              <c16:uniqueId val="{00000002-BECF-4286-931C-D69DAB6C974C}"/>
            </c:ext>
          </c:extLst>
        </c:ser>
        <c:dLbls>
          <c:dLblPos val="outEnd"/>
          <c:showLegendKey val="0"/>
          <c:showVal val="1"/>
          <c:showCatName val="0"/>
          <c:showSerName val="0"/>
          <c:showPercent val="0"/>
          <c:showBubbleSize val="0"/>
        </c:dLbls>
        <c:gapWidth val="182"/>
        <c:axId val="1448563632"/>
        <c:axId val="1448562672"/>
      </c:barChart>
      <c:catAx>
        <c:axId val="144856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562672"/>
        <c:crosses val="autoZero"/>
        <c:auto val="1"/>
        <c:lblAlgn val="ctr"/>
        <c:lblOffset val="100"/>
        <c:noMultiLvlLbl val="0"/>
      </c:catAx>
      <c:valAx>
        <c:axId val="1448562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563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Bottom</a:t>
            </a:r>
            <a:r>
              <a:rPr lang="en-IN" baseline="0"/>
              <a:t> 3 marks scored by Students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'pivot table'!$D$91</c:f>
              <c:strCache>
                <c:ptCount val="1"/>
                <c:pt idx="0">
                  <c:v>GUTHRIE milborn</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table'!$E$90</c:f>
              <c:strCache>
                <c:ptCount val="1"/>
                <c:pt idx="0">
                  <c:v>Sum of Total</c:v>
                </c:pt>
              </c:strCache>
            </c:strRef>
          </c:cat>
          <c:val>
            <c:numRef>
              <c:f>'pivot table'!$E$91</c:f>
              <c:numCache>
                <c:formatCode>General</c:formatCode>
                <c:ptCount val="1"/>
                <c:pt idx="0">
                  <c:v>81</c:v>
                </c:pt>
              </c:numCache>
            </c:numRef>
          </c:val>
          <c:extLst>
            <c:ext xmlns:c16="http://schemas.microsoft.com/office/drawing/2014/chart" uri="{C3380CC4-5D6E-409C-BE32-E72D297353CC}">
              <c16:uniqueId val="{00000000-9166-4A76-84A9-AC2552F997E1}"/>
            </c:ext>
          </c:extLst>
        </c:ser>
        <c:ser>
          <c:idx val="1"/>
          <c:order val="1"/>
          <c:tx>
            <c:strRef>
              <c:f>'pivot table'!$D$92</c:f>
              <c:strCache>
                <c:ptCount val="1"/>
                <c:pt idx="0">
                  <c:v>barCLAY djURDjevic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table'!$E$90</c:f>
              <c:strCache>
                <c:ptCount val="1"/>
                <c:pt idx="0">
                  <c:v>Sum of Total</c:v>
                </c:pt>
              </c:strCache>
            </c:strRef>
          </c:cat>
          <c:val>
            <c:numRef>
              <c:f>'pivot table'!$E$92</c:f>
              <c:numCache>
                <c:formatCode>General</c:formatCode>
                <c:ptCount val="1"/>
                <c:pt idx="0">
                  <c:v>74</c:v>
                </c:pt>
              </c:numCache>
            </c:numRef>
          </c:val>
          <c:extLst>
            <c:ext xmlns:c16="http://schemas.microsoft.com/office/drawing/2014/chart" uri="{C3380CC4-5D6E-409C-BE32-E72D297353CC}">
              <c16:uniqueId val="{00000001-9166-4A76-84A9-AC2552F997E1}"/>
            </c:ext>
          </c:extLst>
        </c:ser>
        <c:ser>
          <c:idx val="2"/>
          <c:order val="2"/>
          <c:tx>
            <c:strRef>
              <c:f>'pivot table'!$D$93</c:f>
              <c:strCache>
                <c:ptCount val="1"/>
                <c:pt idx="0">
                  <c:v>wendi VINEAll</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table'!$E$90</c:f>
              <c:strCache>
                <c:ptCount val="1"/>
                <c:pt idx="0">
                  <c:v>Sum of Total</c:v>
                </c:pt>
              </c:strCache>
            </c:strRef>
          </c:cat>
          <c:val>
            <c:numRef>
              <c:f>'pivot table'!$E$93</c:f>
              <c:numCache>
                <c:formatCode>General</c:formatCode>
                <c:ptCount val="1"/>
                <c:pt idx="0">
                  <c:v>57</c:v>
                </c:pt>
              </c:numCache>
            </c:numRef>
          </c:val>
          <c:extLst>
            <c:ext xmlns:c16="http://schemas.microsoft.com/office/drawing/2014/chart" uri="{C3380CC4-5D6E-409C-BE32-E72D297353CC}">
              <c16:uniqueId val="{00000002-9166-4A76-84A9-AC2552F997E1}"/>
            </c:ext>
          </c:extLst>
        </c:ser>
        <c:dLbls>
          <c:dLblPos val="outEnd"/>
          <c:showLegendKey val="0"/>
          <c:showVal val="1"/>
          <c:showCatName val="0"/>
          <c:showSerName val="0"/>
          <c:showPercent val="0"/>
          <c:showBubbleSize val="0"/>
        </c:dLbls>
        <c:gapWidth val="182"/>
        <c:axId val="896176944"/>
        <c:axId val="896176464"/>
      </c:barChart>
      <c:catAx>
        <c:axId val="89617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76464"/>
        <c:crosses val="autoZero"/>
        <c:auto val="1"/>
        <c:lblAlgn val="ctr"/>
        <c:lblOffset val="100"/>
        <c:noMultiLvlLbl val="0"/>
      </c:catAx>
      <c:valAx>
        <c:axId val="896176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76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Dashboard excel project .xlsx]pivot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of Total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1-10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c:formatCode>
                <c:ptCount val="2"/>
                <c:pt idx="0">
                  <c:v>222</c:v>
                </c:pt>
                <c:pt idx="1">
                  <c:v>213.11111111111111</c:v>
                </c:pt>
              </c:numCache>
            </c:numRef>
          </c:val>
          <c:extLst>
            <c:ext xmlns:c16="http://schemas.microsoft.com/office/drawing/2014/chart" uri="{C3380CC4-5D6E-409C-BE32-E72D297353CC}">
              <c16:uniqueId val="{00000000-113D-4966-AD79-2F808529C8C4}"/>
            </c:ext>
          </c:extLst>
        </c:ser>
        <c:ser>
          <c:idx val="1"/>
          <c:order val="1"/>
          <c:tx>
            <c:strRef>
              <c:f>'pivot table'!$C$1:$C$2</c:f>
              <c:strCache>
                <c:ptCount val="1"/>
                <c:pt idx="0">
                  <c:v>11-20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c:formatCode>
                <c:ptCount val="2"/>
                <c:pt idx="0">
                  <c:v>110.6</c:v>
                </c:pt>
                <c:pt idx="1">
                  <c:v>112.8</c:v>
                </c:pt>
              </c:numCache>
            </c:numRef>
          </c:val>
          <c:extLst>
            <c:ext xmlns:c16="http://schemas.microsoft.com/office/drawing/2014/chart" uri="{C3380CC4-5D6E-409C-BE32-E72D297353CC}">
              <c16:uniqueId val="{00000001-EE1D-425D-B605-BEC255961633}"/>
            </c:ext>
          </c:extLst>
        </c:ser>
        <c:dLbls>
          <c:showLegendKey val="0"/>
          <c:showVal val="0"/>
          <c:showCatName val="0"/>
          <c:showSerName val="0"/>
          <c:showPercent val="0"/>
          <c:showBubbleSize val="0"/>
        </c:dLbls>
        <c:gapWidth val="100"/>
        <c:overlap val="-24"/>
        <c:axId val="580398768"/>
        <c:axId val="580399248"/>
      </c:barChart>
      <c:catAx>
        <c:axId val="5803987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399248"/>
        <c:crosses val="autoZero"/>
        <c:auto val="1"/>
        <c:lblAlgn val="ctr"/>
        <c:lblOffset val="100"/>
        <c:noMultiLvlLbl val="0"/>
      </c:catAx>
      <c:valAx>
        <c:axId val="580399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3987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Dashboard excel project .xlsx]pivot table!PivotTable3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subject scored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table'!$B$18</c:f>
              <c:strCache>
                <c:ptCount val="1"/>
                <c:pt idx="0">
                  <c:v>Average of Physics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table'!$A$19:$A$21</c:f>
              <c:strCache>
                <c:ptCount val="2"/>
                <c:pt idx="0">
                  <c:v>Female</c:v>
                </c:pt>
                <c:pt idx="1">
                  <c:v>Male</c:v>
                </c:pt>
              </c:strCache>
            </c:strRef>
          </c:cat>
          <c:val>
            <c:numRef>
              <c:f>'pivot table'!$B$19:$B$21</c:f>
              <c:numCache>
                <c:formatCode>0</c:formatCode>
                <c:ptCount val="2"/>
                <c:pt idx="0">
                  <c:v>35</c:v>
                </c:pt>
                <c:pt idx="1">
                  <c:v>55.857142857142854</c:v>
                </c:pt>
              </c:numCache>
            </c:numRef>
          </c:val>
          <c:extLst>
            <c:ext xmlns:c16="http://schemas.microsoft.com/office/drawing/2014/chart" uri="{C3380CC4-5D6E-409C-BE32-E72D297353CC}">
              <c16:uniqueId val="{00000000-8AB6-4B9E-8523-6D1B3FCE8292}"/>
            </c:ext>
          </c:extLst>
        </c:ser>
        <c:ser>
          <c:idx val="1"/>
          <c:order val="1"/>
          <c:tx>
            <c:strRef>
              <c:f>'pivot table'!$C$18</c:f>
              <c:strCache>
                <c:ptCount val="1"/>
                <c:pt idx="0">
                  <c:v>Average of Chemistry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table'!$A$19:$A$21</c:f>
              <c:strCache>
                <c:ptCount val="2"/>
                <c:pt idx="0">
                  <c:v>Female</c:v>
                </c:pt>
                <c:pt idx="1">
                  <c:v>Male</c:v>
                </c:pt>
              </c:strCache>
            </c:strRef>
          </c:cat>
          <c:val>
            <c:numRef>
              <c:f>'pivot table'!$C$19:$C$21</c:f>
              <c:numCache>
                <c:formatCode>0</c:formatCode>
                <c:ptCount val="2"/>
                <c:pt idx="0">
                  <c:v>38.333333333333336</c:v>
                </c:pt>
                <c:pt idx="1">
                  <c:v>57.428571428571431</c:v>
                </c:pt>
              </c:numCache>
            </c:numRef>
          </c:val>
          <c:extLst>
            <c:ext xmlns:c16="http://schemas.microsoft.com/office/drawing/2014/chart" uri="{C3380CC4-5D6E-409C-BE32-E72D297353CC}">
              <c16:uniqueId val="{00000001-8AB6-4B9E-8523-6D1B3FCE8292}"/>
            </c:ext>
          </c:extLst>
        </c:ser>
        <c:ser>
          <c:idx val="2"/>
          <c:order val="2"/>
          <c:tx>
            <c:strRef>
              <c:f>'pivot table'!$D$18</c:f>
              <c:strCache>
                <c:ptCount val="1"/>
                <c:pt idx="0">
                  <c:v>Average of Maths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table'!$A$19:$A$21</c:f>
              <c:strCache>
                <c:ptCount val="2"/>
                <c:pt idx="0">
                  <c:v>Female</c:v>
                </c:pt>
                <c:pt idx="1">
                  <c:v>Male</c:v>
                </c:pt>
              </c:strCache>
            </c:strRef>
          </c:cat>
          <c:val>
            <c:numRef>
              <c:f>'pivot table'!$D$19:$D$21</c:f>
              <c:numCache>
                <c:formatCode>0</c:formatCode>
                <c:ptCount val="2"/>
                <c:pt idx="0">
                  <c:v>55.833333333333336</c:v>
                </c:pt>
                <c:pt idx="1">
                  <c:v>64</c:v>
                </c:pt>
              </c:numCache>
            </c:numRef>
          </c:val>
          <c:extLst>
            <c:ext xmlns:c16="http://schemas.microsoft.com/office/drawing/2014/chart" uri="{C3380CC4-5D6E-409C-BE32-E72D297353CC}">
              <c16:uniqueId val="{00000002-8AB6-4B9E-8523-6D1B3FCE8292}"/>
            </c:ext>
          </c:extLst>
        </c:ser>
        <c:dLbls>
          <c:dLblPos val="inEnd"/>
          <c:showLegendKey val="0"/>
          <c:showVal val="1"/>
          <c:showCatName val="0"/>
          <c:showSerName val="0"/>
          <c:showPercent val="0"/>
          <c:showBubbleSize val="0"/>
        </c:dLbls>
        <c:gapWidth val="65"/>
        <c:axId val="988062352"/>
        <c:axId val="988081072"/>
      </c:barChart>
      <c:catAx>
        <c:axId val="98806235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Gender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8081072"/>
        <c:crosses val="autoZero"/>
        <c:auto val="1"/>
        <c:lblAlgn val="ctr"/>
        <c:lblOffset val="100"/>
        <c:noMultiLvlLbl val="0"/>
      </c:catAx>
      <c:valAx>
        <c:axId val="98808107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Subjects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880623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Dashboard excel project .xlsx]pivot table!PivotTable6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ID by Name &amp;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table'!$B$36:$B$37</c:f>
              <c:strCache>
                <c:ptCount val="1"/>
                <c:pt idx="0">
                  <c:v>1-10</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D46-48FA-B5CD-B9E20D33D80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D46-48FA-B5CD-B9E20D33D8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table'!$A$38:$A$40</c:f>
              <c:strCache>
                <c:ptCount val="2"/>
                <c:pt idx="0">
                  <c:v>Female</c:v>
                </c:pt>
                <c:pt idx="1">
                  <c:v>Male</c:v>
                </c:pt>
              </c:strCache>
            </c:strRef>
          </c:cat>
          <c:val>
            <c:numRef>
              <c:f>'pivot table'!$B$38:$B$40</c:f>
              <c:numCache>
                <c:formatCode>General</c:formatCode>
                <c:ptCount val="2"/>
                <c:pt idx="0">
                  <c:v>1</c:v>
                </c:pt>
                <c:pt idx="1">
                  <c:v>9</c:v>
                </c:pt>
              </c:numCache>
            </c:numRef>
          </c:val>
          <c:extLst>
            <c:ext xmlns:c16="http://schemas.microsoft.com/office/drawing/2014/chart" uri="{C3380CC4-5D6E-409C-BE32-E72D297353CC}">
              <c16:uniqueId val="{00000004-3D46-48FA-B5CD-B9E20D33D802}"/>
            </c:ext>
          </c:extLst>
        </c:ser>
        <c:ser>
          <c:idx val="1"/>
          <c:order val="1"/>
          <c:tx>
            <c:strRef>
              <c:f>'pivot table'!$C$36:$C$37</c:f>
              <c:strCache>
                <c:ptCount val="1"/>
                <c:pt idx="0">
                  <c:v>11-20</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D46-48FA-B5CD-B9E20D33D80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D46-48FA-B5CD-B9E20D33D8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table'!$A$38:$A$40</c:f>
              <c:strCache>
                <c:ptCount val="2"/>
                <c:pt idx="0">
                  <c:v>Female</c:v>
                </c:pt>
                <c:pt idx="1">
                  <c:v>Male</c:v>
                </c:pt>
              </c:strCache>
            </c:strRef>
          </c:cat>
          <c:val>
            <c:numRef>
              <c:f>'pivot table'!$C$38:$C$40</c:f>
              <c:numCache>
                <c:formatCode>General</c:formatCode>
                <c:ptCount val="2"/>
                <c:pt idx="0">
                  <c:v>5</c:v>
                </c:pt>
                <c:pt idx="1">
                  <c:v>5</c:v>
                </c:pt>
              </c:numCache>
            </c:numRef>
          </c:val>
          <c:extLst>
            <c:ext xmlns:c16="http://schemas.microsoft.com/office/drawing/2014/chart" uri="{C3380CC4-5D6E-409C-BE32-E72D297353CC}">
              <c16:uniqueId val="{00000009-3D46-48FA-B5CD-B9E20D33D8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Dashboard excel project .xlsx]pivot table!PivotTable8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Subjects by Range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c:f>
              <c:strCache>
                <c:ptCount val="1"/>
                <c:pt idx="0">
                  <c:v>Sum of Physics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table'!$A$56:$A$58</c:f>
              <c:strCache>
                <c:ptCount val="2"/>
                <c:pt idx="0">
                  <c:v>1-10</c:v>
                </c:pt>
                <c:pt idx="1">
                  <c:v>11-20</c:v>
                </c:pt>
              </c:strCache>
            </c:strRef>
          </c:cat>
          <c:val>
            <c:numRef>
              <c:f>'pivot table'!$B$56:$B$58</c:f>
              <c:numCache>
                <c:formatCode>General</c:formatCode>
                <c:ptCount val="2"/>
                <c:pt idx="0">
                  <c:v>733</c:v>
                </c:pt>
                <c:pt idx="1">
                  <c:v>259</c:v>
                </c:pt>
              </c:numCache>
            </c:numRef>
          </c:val>
          <c:smooth val="0"/>
          <c:extLst>
            <c:ext xmlns:c16="http://schemas.microsoft.com/office/drawing/2014/chart" uri="{C3380CC4-5D6E-409C-BE32-E72D297353CC}">
              <c16:uniqueId val="{00000000-407C-47FB-973F-10E70DD1643C}"/>
            </c:ext>
          </c:extLst>
        </c:ser>
        <c:ser>
          <c:idx val="1"/>
          <c:order val="1"/>
          <c:tx>
            <c:strRef>
              <c:f>'pivot table'!$C$55</c:f>
              <c:strCache>
                <c:ptCount val="1"/>
                <c:pt idx="0">
                  <c:v>Sum of Maths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table'!$A$56:$A$58</c:f>
              <c:strCache>
                <c:ptCount val="2"/>
                <c:pt idx="0">
                  <c:v>1-10</c:v>
                </c:pt>
                <c:pt idx="1">
                  <c:v>11-20</c:v>
                </c:pt>
              </c:strCache>
            </c:strRef>
          </c:cat>
          <c:val>
            <c:numRef>
              <c:f>'pivot table'!$C$56:$C$58</c:f>
              <c:numCache>
                <c:formatCode>General</c:formatCode>
                <c:ptCount val="2"/>
                <c:pt idx="0">
                  <c:v>656</c:v>
                </c:pt>
                <c:pt idx="1">
                  <c:v>575</c:v>
                </c:pt>
              </c:numCache>
            </c:numRef>
          </c:val>
          <c:smooth val="0"/>
          <c:extLst>
            <c:ext xmlns:c16="http://schemas.microsoft.com/office/drawing/2014/chart" uri="{C3380CC4-5D6E-409C-BE32-E72D297353CC}">
              <c16:uniqueId val="{00000001-407C-47FB-973F-10E70DD1643C}"/>
            </c:ext>
          </c:extLst>
        </c:ser>
        <c:ser>
          <c:idx val="2"/>
          <c:order val="2"/>
          <c:tx>
            <c:strRef>
              <c:f>'pivot table'!$D$55</c:f>
              <c:strCache>
                <c:ptCount val="1"/>
                <c:pt idx="0">
                  <c:v>Sum of Chemistry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table'!$A$56:$A$58</c:f>
              <c:strCache>
                <c:ptCount val="2"/>
                <c:pt idx="0">
                  <c:v>1-10</c:v>
                </c:pt>
                <c:pt idx="1">
                  <c:v>11-20</c:v>
                </c:pt>
              </c:strCache>
            </c:strRef>
          </c:cat>
          <c:val>
            <c:numRef>
              <c:f>'pivot table'!$D$56:$D$58</c:f>
              <c:numCache>
                <c:formatCode>General</c:formatCode>
                <c:ptCount val="2"/>
                <c:pt idx="0">
                  <c:v>751</c:v>
                </c:pt>
                <c:pt idx="1">
                  <c:v>283</c:v>
                </c:pt>
              </c:numCache>
            </c:numRef>
          </c:val>
          <c:smooth val="0"/>
          <c:extLst>
            <c:ext xmlns:c16="http://schemas.microsoft.com/office/drawing/2014/chart" uri="{C3380CC4-5D6E-409C-BE32-E72D297353CC}">
              <c16:uniqueId val="{00000002-407C-47FB-973F-10E70DD1643C}"/>
            </c:ext>
          </c:extLst>
        </c:ser>
        <c:dLbls>
          <c:showLegendKey val="0"/>
          <c:showVal val="0"/>
          <c:showCatName val="0"/>
          <c:showSerName val="0"/>
          <c:showPercent val="0"/>
          <c:showBubbleSize val="0"/>
        </c:dLbls>
        <c:marker val="1"/>
        <c:smooth val="0"/>
        <c:axId val="1132277472"/>
        <c:axId val="1132277952"/>
      </c:lineChart>
      <c:catAx>
        <c:axId val="11322774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Range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277952"/>
        <c:crosses val="autoZero"/>
        <c:auto val="1"/>
        <c:lblAlgn val="ctr"/>
        <c:lblOffset val="100"/>
        <c:noMultiLvlLbl val="0"/>
      </c:catAx>
      <c:valAx>
        <c:axId val="11322779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Subjects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27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3 Marks scored by Students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'pivot table'!$D$76</c:f>
              <c:strCache>
                <c:ptCount val="1"/>
                <c:pt idx="0">
                  <c:v>KENTon kropach</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table'!$E$75</c:f>
              <c:strCache>
                <c:ptCount val="1"/>
                <c:pt idx="0">
                  <c:v>Sum of Total</c:v>
                </c:pt>
              </c:strCache>
            </c:strRef>
          </c:cat>
          <c:val>
            <c:numRef>
              <c:f>'pivot table'!$E$76</c:f>
              <c:numCache>
                <c:formatCode>General</c:formatCode>
                <c:ptCount val="1"/>
                <c:pt idx="0">
                  <c:v>286</c:v>
                </c:pt>
              </c:numCache>
            </c:numRef>
          </c:val>
          <c:extLst>
            <c:ext xmlns:c16="http://schemas.microsoft.com/office/drawing/2014/chart" uri="{C3380CC4-5D6E-409C-BE32-E72D297353CC}">
              <c16:uniqueId val="{00000000-BEF5-422E-9AE1-8DFB7538F4CE}"/>
            </c:ext>
          </c:extLst>
        </c:ser>
        <c:ser>
          <c:idx val="1"/>
          <c:order val="1"/>
          <c:tx>
            <c:strRef>
              <c:f>'pivot table'!$D$77</c:f>
              <c:strCache>
                <c:ptCount val="1"/>
                <c:pt idx="0">
                  <c:v>MayNe raxWorthy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table'!$E$75</c:f>
              <c:strCache>
                <c:ptCount val="1"/>
                <c:pt idx="0">
                  <c:v>Sum of Total</c:v>
                </c:pt>
              </c:strCache>
            </c:strRef>
          </c:cat>
          <c:val>
            <c:numRef>
              <c:f>'pivot table'!$E$77</c:f>
              <c:numCache>
                <c:formatCode>General</c:formatCode>
                <c:ptCount val="1"/>
                <c:pt idx="0">
                  <c:v>236</c:v>
                </c:pt>
              </c:numCache>
            </c:numRef>
          </c:val>
          <c:extLst>
            <c:ext xmlns:c16="http://schemas.microsoft.com/office/drawing/2014/chart" uri="{C3380CC4-5D6E-409C-BE32-E72D297353CC}">
              <c16:uniqueId val="{00000001-BEF5-422E-9AE1-8DFB7538F4CE}"/>
            </c:ext>
          </c:extLst>
        </c:ser>
        <c:ser>
          <c:idx val="2"/>
          <c:order val="2"/>
          <c:tx>
            <c:strRef>
              <c:f>'pivot table'!$D$78</c:f>
              <c:strCache>
                <c:ptCount val="1"/>
                <c:pt idx="0">
                  <c:v>moRTIE pratley</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table'!$E$75</c:f>
              <c:strCache>
                <c:ptCount val="1"/>
                <c:pt idx="0">
                  <c:v>Sum of Total</c:v>
                </c:pt>
              </c:strCache>
            </c:strRef>
          </c:cat>
          <c:val>
            <c:numRef>
              <c:f>'pivot table'!$E$78</c:f>
              <c:numCache>
                <c:formatCode>General</c:formatCode>
                <c:ptCount val="1"/>
                <c:pt idx="0">
                  <c:v>224</c:v>
                </c:pt>
              </c:numCache>
            </c:numRef>
          </c:val>
          <c:extLst>
            <c:ext xmlns:c16="http://schemas.microsoft.com/office/drawing/2014/chart" uri="{C3380CC4-5D6E-409C-BE32-E72D297353CC}">
              <c16:uniqueId val="{00000002-BEF5-422E-9AE1-8DFB7538F4CE}"/>
            </c:ext>
          </c:extLst>
        </c:ser>
        <c:dLbls>
          <c:dLblPos val="outEnd"/>
          <c:showLegendKey val="0"/>
          <c:showVal val="1"/>
          <c:showCatName val="0"/>
          <c:showSerName val="0"/>
          <c:showPercent val="0"/>
          <c:showBubbleSize val="0"/>
        </c:dLbls>
        <c:gapWidth val="182"/>
        <c:axId val="1448563632"/>
        <c:axId val="1448562672"/>
      </c:barChart>
      <c:catAx>
        <c:axId val="144856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562672"/>
        <c:crosses val="autoZero"/>
        <c:auto val="1"/>
        <c:lblAlgn val="ctr"/>
        <c:lblOffset val="100"/>
        <c:noMultiLvlLbl val="0"/>
      </c:catAx>
      <c:valAx>
        <c:axId val="1448562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563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Bottom</a:t>
            </a:r>
            <a:r>
              <a:rPr lang="en-IN" baseline="0"/>
              <a:t> 3 marks scored by Students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'pivot table'!$D$91</c:f>
              <c:strCache>
                <c:ptCount val="1"/>
                <c:pt idx="0">
                  <c:v>GUTHRIE milborn</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table'!$E$90</c:f>
              <c:strCache>
                <c:ptCount val="1"/>
                <c:pt idx="0">
                  <c:v>Sum of Total</c:v>
                </c:pt>
              </c:strCache>
            </c:strRef>
          </c:cat>
          <c:val>
            <c:numRef>
              <c:f>'pivot table'!$E$91</c:f>
              <c:numCache>
                <c:formatCode>General</c:formatCode>
                <c:ptCount val="1"/>
                <c:pt idx="0">
                  <c:v>81</c:v>
                </c:pt>
              </c:numCache>
            </c:numRef>
          </c:val>
          <c:extLst>
            <c:ext xmlns:c16="http://schemas.microsoft.com/office/drawing/2014/chart" uri="{C3380CC4-5D6E-409C-BE32-E72D297353CC}">
              <c16:uniqueId val="{00000000-CD8A-4395-ACC2-A6BBFFF347FC}"/>
            </c:ext>
          </c:extLst>
        </c:ser>
        <c:ser>
          <c:idx val="1"/>
          <c:order val="1"/>
          <c:tx>
            <c:strRef>
              <c:f>'pivot table'!$D$92</c:f>
              <c:strCache>
                <c:ptCount val="1"/>
                <c:pt idx="0">
                  <c:v>barCLAY djURDjevic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table'!$E$90</c:f>
              <c:strCache>
                <c:ptCount val="1"/>
                <c:pt idx="0">
                  <c:v>Sum of Total</c:v>
                </c:pt>
              </c:strCache>
            </c:strRef>
          </c:cat>
          <c:val>
            <c:numRef>
              <c:f>'pivot table'!$E$92</c:f>
              <c:numCache>
                <c:formatCode>General</c:formatCode>
                <c:ptCount val="1"/>
                <c:pt idx="0">
                  <c:v>74</c:v>
                </c:pt>
              </c:numCache>
            </c:numRef>
          </c:val>
          <c:extLst>
            <c:ext xmlns:c16="http://schemas.microsoft.com/office/drawing/2014/chart" uri="{C3380CC4-5D6E-409C-BE32-E72D297353CC}">
              <c16:uniqueId val="{00000001-CD8A-4395-ACC2-A6BBFFF347FC}"/>
            </c:ext>
          </c:extLst>
        </c:ser>
        <c:ser>
          <c:idx val="2"/>
          <c:order val="2"/>
          <c:tx>
            <c:strRef>
              <c:f>'pivot table'!$D$93</c:f>
              <c:strCache>
                <c:ptCount val="1"/>
                <c:pt idx="0">
                  <c:v>wendi VINEAll</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table'!$E$90</c:f>
              <c:strCache>
                <c:ptCount val="1"/>
                <c:pt idx="0">
                  <c:v>Sum of Total</c:v>
                </c:pt>
              </c:strCache>
            </c:strRef>
          </c:cat>
          <c:val>
            <c:numRef>
              <c:f>'pivot table'!$E$93</c:f>
              <c:numCache>
                <c:formatCode>General</c:formatCode>
                <c:ptCount val="1"/>
                <c:pt idx="0">
                  <c:v>57</c:v>
                </c:pt>
              </c:numCache>
            </c:numRef>
          </c:val>
          <c:extLst>
            <c:ext xmlns:c16="http://schemas.microsoft.com/office/drawing/2014/chart" uri="{C3380CC4-5D6E-409C-BE32-E72D297353CC}">
              <c16:uniqueId val="{00000002-CD8A-4395-ACC2-A6BBFFF347FC}"/>
            </c:ext>
          </c:extLst>
        </c:ser>
        <c:dLbls>
          <c:dLblPos val="outEnd"/>
          <c:showLegendKey val="0"/>
          <c:showVal val="1"/>
          <c:showCatName val="0"/>
          <c:showSerName val="0"/>
          <c:showPercent val="0"/>
          <c:showBubbleSize val="0"/>
        </c:dLbls>
        <c:gapWidth val="182"/>
        <c:axId val="896176944"/>
        <c:axId val="896176464"/>
      </c:barChart>
      <c:catAx>
        <c:axId val="89617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76464"/>
        <c:crosses val="autoZero"/>
        <c:auto val="1"/>
        <c:lblAlgn val="ctr"/>
        <c:lblOffset val="100"/>
        <c:noMultiLvlLbl val="0"/>
      </c:catAx>
      <c:valAx>
        <c:axId val="896176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76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137160</xdr:colOff>
      <xdr:row>0</xdr:row>
      <xdr:rowOff>0</xdr:rowOff>
    </xdr:from>
    <xdr:to>
      <xdr:col>23</xdr:col>
      <xdr:colOff>0</xdr:colOff>
      <xdr:row>15</xdr:row>
      <xdr:rowOff>0</xdr:rowOff>
    </xdr:to>
    <xdr:graphicFrame macro="">
      <xdr:nvGraphicFramePr>
        <xdr:cNvPr id="2" name="Chart 1">
          <a:extLst>
            <a:ext uri="{FF2B5EF4-FFF2-40B4-BE49-F238E27FC236}">
              <a16:creationId xmlns:a16="http://schemas.microsoft.com/office/drawing/2014/main" id="{F35A7500-3C9D-42DA-E7D5-7693D00DC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16</xdr:row>
      <xdr:rowOff>171450</xdr:rowOff>
    </xdr:from>
    <xdr:to>
      <xdr:col>23</xdr:col>
      <xdr:colOff>0</xdr:colOff>
      <xdr:row>31</xdr:row>
      <xdr:rowOff>171450</xdr:rowOff>
    </xdr:to>
    <xdr:graphicFrame macro="">
      <xdr:nvGraphicFramePr>
        <xdr:cNvPr id="3" name="Chart 2">
          <a:extLst>
            <a:ext uri="{FF2B5EF4-FFF2-40B4-BE49-F238E27FC236}">
              <a16:creationId xmlns:a16="http://schemas.microsoft.com/office/drawing/2014/main" id="{6990C8E9-5327-D948-57F0-10BDDD5F0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35</xdr:row>
      <xdr:rowOff>3810</xdr:rowOff>
    </xdr:from>
    <xdr:to>
      <xdr:col>23</xdr:col>
      <xdr:colOff>0</xdr:colOff>
      <xdr:row>50</xdr:row>
      <xdr:rowOff>3810</xdr:rowOff>
    </xdr:to>
    <xdr:graphicFrame macro="">
      <xdr:nvGraphicFramePr>
        <xdr:cNvPr id="4" name="Chart 3">
          <a:extLst>
            <a:ext uri="{FF2B5EF4-FFF2-40B4-BE49-F238E27FC236}">
              <a16:creationId xmlns:a16="http://schemas.microsoft.com/office/drawing/2014/main" id="{B1A523E3-5ADF-4A98-F102-B6C0DB5B6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53</xdr:row>
      <xdr:rowOff>156210</xdr:rowOff>
    </xdr:from>
    <xdr:to>
      <xdr:col>22</xdr:col>
      <xdr:colOff>0</xdr:colOff>
      <xdr:row>68</xdr:row>
      <xdr:rowOff>89065</xdr:rowOff>
    </xdr:to>
    <xdr:graphicFrame macro="">
      <xdr:nvGraphicFramePr>
        <xdr:cNvPr id="5" name="Chart 4">
          <a:extLst>
            <a:ext uri="{FF2B5EF4-FFF2-40B4-BE49-F238E27FC236}">
              <a16:creationId xmlns:a16="http://schemas.microsoft.com/office/drawing/2014/main" id="{810958EA-965E-0FB7-DE52-4E290B62E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128649</xdr:colOff>
      <xdr:row>73</xdr:row>
      <xdr:rowOff>172192</xdr:rowOff>
    </xdr:from>
    <xdr:to>
      <xdr:col>23</xdr:col>
      <xdr:colOff>415636</xdr:colOff>
      <xdr:row>88</xdr:row>
      <xdr:rowOff>29688</xdr:rowOff>
    </xdr:to>
    <xdr:graphicFrame macro="">
      <xdr:nvGraphicFramePr>
        <xdr:cNvPr id="11" name="Chart 10">
          <a:extLst>
            <a:ext uri="{FF2B5EF4-FFF2-40B4-BE49-F238E27FC236}">
              <a16:creationId xmlns:a16="http://schemas.microsoft.com/office/drawing/2014/main" id="{D356692D-ABBF-72A6-7B1E-220753C6D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9896</xdr:colOff>
      <xdr:row>89</xdr:row>
      <xdr:rowOff>13855</xdr:rowOff>
    </xdr:from>
    <xdr:to>
      <xdr:col>23</xdr:col>
      <xdr:colOff>504701</xdr:colOff>
      <xdr:row>104</xdr:row>
      <xdr:rowOff>85107</xdr:rowOff>
    </xdr:to>
    <xdr:graphicFrame macro="">
      <xdr:nvGraphicFramePr>
        <xdr:cNvPr id="6" name="Chart 5">
          <a:extLst>
            <a:ext uri="{FF2B5EF4-FFF2-40B4-BE49-F238E27FC236}">
              <a16:creationId xmlns:a16="http://schemas.microsoft.com/office/drawing/2014/main" id="{07C88C88-F6ED-39D0-415A-4657AAE17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1</xdr:rowOff>
    </xdr:from>
    <xdr:to>
      <xdr:col>6</xdr:col>
      <xdr:colOff>121920</xdr:colOff>
      <xdr:row>24</xdr:row>
      <xdr:rowOff>152401</xdr:rowOff>
    </xdr:to>
    <xdr:graphicFrame macro="">
      <xdr:nvGraphicFramePr>
        <xdr:cNvPr id="2" name="Chart 1">
          <a:extLst>
            <a:ext uri="{FF2B5EF4-FFF2-40B4-BE49-F238E27FC236}">
              <a16:creationId xmlns:a16="http://schemas.microsoft.com/office/drawing/2014/main" id="{551F364E-F6B5-4BC5-83B9-740AFE05B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268675</xdr:colOff>
      <xdr:row>10</xdr:row>
      <xdr:rowOff>170020</xdr:rowOff>
    </xdr:from>
    <xdr:to>
      <xdr:col>13</xdr:col>
      <xdr:colOff>137160</xdr:colOff>
      <xdr:row>24</xdr:row>
      <xdr:rowOff>91440</xdr:rowOff>
    </xdr:to>
    <xdr:graphicFrame macro="">
      <xdr:nvGraphicFramePr>
        <xdr:cNvPr id="3" name="Chart 2">
          <a:extLst>
            <a:ext uri="{FF2B5EF4-FFF2-40B4-BE49-F238E27FC236}">
              <a16:creationId xmlns:a16="http://schemas.microsoft.com/office/drawing/2014/main" id="{734EBE15-8856-4E44-98A3-2B4F81853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446152</xdr:colOff>
      <xdr:row>25</xdr:row>
      <xdr:rowOff>80930</xdr:rowOff>
    </xdr:from>
    <xdr:to>
      <xdr:col>17</xdr:col>
      <xdr:colOff>45719</xdr:colOff>
      <xdr:row>40</xdr:row>
      <xdr:rowOff>173848</xdr:rowOff>
    </xdr:to>
    <xdr:graphicFrame macro="">
      <xdr:nvGraphicFramePr>
        <xdr:cNvPr id="4" name="Chart 3">
          <a:extLst>
            <a:ext uri="{FF2B5EF4-FFF2-40B4-BE49-F238E27FC236}">
              <a16:creationId xmlns:a16="http://schemas.microsoft.com/office/drawing/2014/main" id="{031B103C-410D-406A-A8DC-04AF24EC9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25</xdr:row>
      <xdr:rowOff>60960</xdr:rowOff>
    </xdr:from>
    <xdr:to>
      <xdr:col>8</xdr:col>
      <xdr:colOff>320041</xdr:colOff>
      <xdr:row>41</xdr:row>
      <xdr:rowOff>121920</xdr:rowOff>
    </xdr:to>
    <xdr:graphicFrame macro="">
      <xdr:nvGraphicFramePr>
        <xdr:cNvPr id="5" name="Chart 4">
          <a:extLst>
            <a:ext uri="{FF2B5EF4-FFF2-40B4-BE49-F238E27FC236}">
              <a16:creationId xmlns:a16="http://schemas.microsoft.com/office/drawing/2014/main" id="{09A3B7AF-4576-4FA5-8698-5837E2B82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235939</xdr:colOff>
      <xdr:row>11</xdr:row>
      <xdr:rowOff>775</xdr:rowOff>
    </xdr:from>
    <xdr:to>
      <xdr:col>17</xdr:col>
      <xdr:colOff>45720</xdr:colOff>
      <xdr:row>17</xdr:row>
      <xdr:rowOff>45720</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F23081E7-4B9C-D212-937E-D7738CC5663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160739" y="2012455"/>
              <a:ext cx="2248181" cy="1142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266419</xdr:colOff>
      <xdr:row>18</xdr:row>
      <xdr:rowOff>25312</xdr:rowOff>
    </xdr:from>
    <xdr:to>
      <xdr:col>17</xdr:col>
      <xdr:colOff>30480</xdr:colOff>
      <xdr:row>24</xdr:row>
      <xdr:rowOff>91440</xdr:rowOff>
    </xdr:to>
    <mc:AlternateContent xmlns:mc="http://schemas.openxmlformats.org/markup-compatibility/2006">
      <mc:Choice xmlns:a14="http://schemas.microsoft.com/office/drawing/2010/main" Requires="a14">
        <xdr:graphicFrame macro="">
          <xdr:nvGraphicFramePr>
            <xdr:cNvPr id="10" name="range">
              <a:extLst>
                <a:ext uri="{FF2B5EF4-FFF2-40B4-BE49-F238E27FC236}">
                  <a16:creationId xmlns:a16="http://schemas.microsoft.com/office/drawing/2014/main" id="{09F0057B-E114-8A60-4E5D-BEAA9ECE00B1}"/>
                </a:ext>
              </a:extLst>
            </xdr:cNvPr>
            <xdr:cNvGraphicFramePr/>
          </xdr:nvGraphicFramePr>
          <xdr:xfrm>
            <a:off x="0" y="0"/>
            <a:ext cx="0" cy="0"/>
          </xdr:xfrm>
          <a:graphic>
            <a:graphicData uri="http://schemas.microsoft.com/office/drawing/2010/slicer">
              <sle:slicer xmlns:sle="http://schemas.microsoft.com/office/drawing/2010/slicer" name="range"/>
            </a:graphicData>
          </a:graphic>
        </xdr:graphicFrame>
      </mc:Choice>
      <mc:Fallback>
        <xdr:sp macro="" textlink="">
          <xdr:nvSpPr>
            <xdr:cNvPr id="0" name=""/>
            <xdr:cNvSpPr>
              <a:spLocks noTextEdit="1"/>
            </xdr:cNvSpPr>
          </xdr:nvSpPr>
          <xdr:spPr>
            <a:xfrm>
              <a:off x="8191219" y="3317152"/>
              <a:ext cx="2202461" cy="1163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42</xdr:row>
      <xdr:rowOff>44268</xdr:rowOff>
    </xdr:from>
    <xdr:to>
      <xdr:col>8</xdr:col>
      <xdr:colOff>258031</xdr:colOff>
      <xdr:row>58</xdr:row>
      <xdr:rowOff>32173</xdr:rowOff>
    </xdr:to>
    <xdr:graphicFrame macro="">
      <xdr:nvGraphicFramePr>
        <xdr:cNvPr id="8" name="Chart 7">
          <a:extLst>
            <a:ext uri="{FF2B5EF4-FFF2-40B4-BE49-F238E27FC236}">
              <a16:creationId xmlns:a16="http://schemas.microsoft.com/office/drawing/2014/main" id="{FAE0DA72-621E-4E3F-BC17-CEFA36D7F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441960</xdr:colOff>
      <xdr:row>41</xdr:row>
      <xdr:rowOff>118532</xdr:rowOff>
    </xdr:from>
    <xdr:to>
      <xdr:col>17</xdr:col>
      <xdr:colOff>60960</xdr:colOff>
      <xdr:row>58</xdr:row>
      <xdr:rowOff>15240</xdr:rowOff>
    </xdr:to>
    <xdr:graphicFrame macro="">
      <xdr:nvGraphicFramePr>
        <xdr:cNvPr id="11" name="Chart 10">
          <a:extLst>
            <a:ext uri="{FF2B5EF4-FFF2-40B4-BE49-F238E27FC236}">
              <a16:creationId xmlns:a16="http://schemas.microsoft.com/office/drawing/2014/main" id="{594E1770-AFDE-423C-A1EC-2EFB54413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itha Govindarajan" refreshedDate="46145.908121064815" createdVersion="8" refreshedVersion="8" minRefreshableVersion="3" recordCount="20" xr:uid="{DE89F855-7E24-49B1-8DF2-95E308CC17A4}">
  <cacheSource type="worksheet">
    <worksheetSource ref="A1:K21" sheet="Sheet1"/>
  </cacheSource>
  <cacheFields count="11">
    <cacheField name="id" numFmtId="0">
      <sharedItems containsSemiMixedTypes="0" containsString="0" containsNumber="1" containsInteger="1" minValue="1" maxValue="20"/>
    </cacheField>
    <cacheField name="Name" numFmtId="0">
      <sharedItems count="20">
        <s v="sIBilla CLEmmensen"/>
        <s v="WENDYE grouvel"/>
        <s v="ReGGIe pawLYN"/>
        <s v="orland HUMBee"/>
        <s v="ERastus gummory"/>
        <s v="kANDY knagGs"/>
        <s v="LEK EWENson"/>
        <s v="wERNER franceschelli"/>
        <s v="ALister THAke"/>
        <s v="barCLAY djURDjevic"/>
        <s v="wendi VINEAll"/>
        <s v="MayNe raxWorthy"/>
        <s v="KENTon kropach"/>
        <s v="LOTta matteacci"/>
        <s v="patricia KENN"/>
        <s v="moRTIE pratley"/>
        <s v="TIMothy Tann"/>
        <s v="GUTHRIE milborn"/>
        <s v="DAL wilCOTT"/>
        <s v="paddie WallBROOK"/>
      </sharedItems>
    </cacheField>
    <cacheField name="gender" numFmtId="0">
      <sharedItems/>
    </cacheField>
    <cacheField name="Phone" numFmtId="0">
      <sharedItems containsSemiMixedTypes="0" containsString="0" containsNumber="1" containsInteger="1" minValue="1198962002" maxValue="7855065742"/>
    </cacheField>
    <cacheField name="email" numFmtId="0">
      <sharedItems/>
    </cacheField>
    <cacheField name="Physics" numFmtId="0">
      <sharedItems containsSemiMixedTypes="0" containsString="0" containsNumber="1" containsInteger="1" minValue="1" maxValue="99"/>
    </cacheField>
    <cacheField name="Chemistry" numFmtId="0">
      <sharedItems containsSemiMixedTypes="0" containsString="0" containsNumber="1" containsInteger="1" minValue="1" maxValue="99"/>
    </cacheField>
    <cacheField name="Maths" numFmtId="0">
      <sharedItems containsSemiMixedTypes="0" containsString="0" containsNumber="1" containsInteger="1" minValue="9" maxValue="97"/>
    </cacheField>
    <cacheField name="Total" numFmtId="0">
      <sharedItems containsSemiMixedTypes="0" containsString="0" containsNumber="1" containsInteger="1" minValue="57" maxValue="286"/>
    </cacheField>
    <cacheField name="rank" numFmtId="0">
      <sharedItems containsSemiMixedTypes="0" containsString="0" containsNumber="1" containsInteger="1" minValue="1" maxValue="20"/>
    </cacheField>
    <cacheField name="range" numFmtId="0">
      <sharedItems count="2">
        <s v="11-20"/>
        <s v="1-10"/>
      </sharedItems>
    </cacheField>
  </cacheFields>
  <extLst>
    <ext xmlns:x14="http://schemas.microsoft.com/office/spreadsheetml/2009/9/main" uri="{725AE2AE-9491-48be-B2B4-4EB974FC3084}">
      <x14:pivotCacheDefinition pivotCacheId="2241275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itha Govindarajan" refreshedDate="46145.908121759261" createdVersion="8" refreshedVersion="8" minRefreshableVersion="3" recordCount="20" xr:uid="{4BD06258-DE3F-4F28-AAD2-321EA85C6ED4}">
  <cacheSource type="worksheet">
    <worksheetSource ref="A1:K21" sheet="Sheet1"/>
  </cacheSource>
  <cacheFields count="11">
    <cacheField name="id" numFmtId="0">
      <sharedItems containsSemiMixedTypes="0" containsString="0" containsNumber="1" containsInteger="1" minValue="1" maxValue="20"/>
    </cacheField>
    <cacheField name="Name" numFmtId="0">
      <sharedItems count="20">
        <s v="sIBilla CLEmmensen"/>
        <s v="WENDYE grouvel"/>
        <s v="ReGGIe pawLYN"/>
        <s v="orland HUMBee"/>
        <s v="ERastus gummory"/>
        <s v="kANDY knagGs"/>
        <s v="LEK EWENson"/>
        <s v="wERNER franceschelli"/>
        <s v="ALister THAke"/>
        <s v="barCLAY djURDjevic"/>
        <s v="wendi VINEAll"/>
        <s v="MayNe raxWorthy"/>
        <s v="KENTon kropach"/>
        <s v="LOTta matteacci"/>
        <s v="patricia KENN"/>
        <s v="moRTIE pratley"/>
        <s v="TIMothy Tann"/>
        <s v="GUTHRIE milborn"/>
        <s v="DAL wilCOTT"/>
        <s v="paddie WallBROOK"/>
      </sharedItems>
    </cacheField>
    <cacheField name="gender" numFmtId="0">
      <sharedItems count="2">
        <s v="Female"/>
        <s v="Male"/>
      </sharedItems>
    </cacheField>
    <cacheField name="Phone" numFmtId="0">
      <sharedItems containsSemiMixedTypes="0" containsString="0" containsNumber="1" containsInteger="1" minValue="1198962002" maxValue="7855065742"/>
    </cacheField>
    <cacheField name="email" numFmtId="0">
      <sharedItems/>
    </cacheField>
    <cacheField name="Physics" numFmtId="0">
      <sharedItems containsSemiMixedTypes="0" containsString="0" containsNumber="1" containsInteger="1" minValue="1" maxValue="99"/>
    </cacheField>
    <cacheField name="Chemistry" numFmtId="0">
      <sharedItems containsSemiMixedTypes="0" containsString="0" containsNumber="1" containsInteger="1" minValue="1" maxValue="99"/>
    </cacheField>
    <cacheField name="Maths" numFmtId="0">
      <sharedItems containsSemiMixedTypes="0" containsString="0" containsNumber="1" containsInteger="1" minValue="9" maxValue="97"/>
    </cacheField>
    <cacheField name="Total" numFmtId="0">
      <sharedItems containsSemiMixedTypes="0" containsString="0" containsNumber="1" containsInteger="1" minValue="57" maxValue="286"/>
    </cacheField>
    <cacheField name="rank" numFmtId="0">
      <sharedItems containsSemiMixedTypes="0" containsString="0" containsNumber="1" containsInteger="1" minValue="1" maxValue="20"/>
    </cacheField>
    <cacheField name="range" numFmtId="0">
      <sharedItems count="2">
        <s v="11-20"/>
        <s v="1-1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itha Govindarajan" refreshedDate="46145.908122337962" createdVersion="8" refreshedVersion="8" minRefreshableVersion="3" recordCount="20" xr:uid="{0A8D90DA-E87E-40F7-B2C2-DC006F40AE1E}">
  <cacheSource type="worksheet">
    <worksheetSource ref="A1:K21" sheet="Sheet1"/>
  </cacheSource>
  <cacheFields count="11">
    <cacheField name="id" numFmtId="0">
      <sharedItems containsSemiMixedTypes="0" containsString="0" containsNumber="1" containsInteger="1" minValue="1" maxValue="20"/>
    </cacheField>
    <cacheField name="Name" numFmtId="0">
      <sharedItems/>
    </cacheField>
    <cacheField name="gender" numFmtId="0">
      <sharedItems count="2">
        <s v="Female"/>
        <s v="Male"/>
      </sharedItems>
    </cacheField>
    <cacheField name="Phone" numFmtId="0">
      <sharedItems containsSemiMixedTypes="0" containsString="0" containsNumber="1" containsInteger="1" minValue="1198962002" maxValue="7855065742"/>
    </cacheField>
    <cacheField name="email" numFmtId="0">
      <sharedItems/>
    </cacheField>
    <cacheField name="Physics" numFmtId="0">
      <sharedItems containsSemiMixedTypes="0" containsString="0" containsNumber="1" containsInteger="1" minValue="1" maxValue="99"/>
    </cacheField>
    <cacheField name="Chemistry" numFmtId="0">
      <sharedItems containsSemiMixedTypes="0" containsString="0" containsNumber="1" containsInteger="1" minValue="1" maxValue="99"/>
    </cacheField>
    <cacheField name="Maths" numFmtId="0">
      <sharedItems containsSemiMixedTypes="0" containsString="0" containsNumber="1" containsInteger="1" minValue="9" maxValue="97"/>
    </cacheField>
    <cacheField name="Total" numFmtId="0">
      <sharedItems containsSemiMixedTypes="0" containsString="0" containsNumber="1" containsInteger="1" minValue="57" maxValue="286"/>
    </cacheField>
    <cacheField name="rank" numFmtId="0">
      <sharedItems containsSemiMixedTypes="0" containsString="0" containsNumber="1" containsInteger="1" minValue="1" maxValue="20"/>
    </cacheField>
    <cacheField name="range" numFmtId="0">
      <sharedItems count="2">
        <s v="11-20"/>
        <s v="1-10"/>
      </sharedItems>
    </cacheField>
  </cacheFields>
  <extLst>
    <ext xmlns:x14="http://schemas.microsoft.com/office/spreadsheetml/2009/9/main" uri="{725AE2AE-9491-48be-B2B4-4EB974FC3084}">
      <x14:pivotCacheDefinition pivotCacheId="1032847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s v="Female"/>
    <n v="5169743363"/>
    <s v="sclemmensen0@ifeng.com"/>
    <n v="4"/>
    <n v="22"/>
    <n v="85"/>
    <n v="111"/>
    <n v="16"/>
    <x v="0"/>
  </r>
  <r>
    <n v="2"/>
    <x v="1"/>
    <s v="Female"/>
    <n v="3849943555"/>
    <s v="wgrouvel1@sakura.ne.jp"/>
    <n v="79"/>
    <n v="49"/>
    <n v="94"/>
    <n v="222"/>
    <n v="4"/>
    <x v="1"/>
  </r>
  <r>
    <n v="3"/>
    <x v="2"/>
    <s v="Male"/>
    <n v="4477991191"/>
    <s v="rpawlyn2@amazon.co.uk"/>
    <n v="87"/>
    <n v="66"/>
    <n v="32"/>
    <n v="185"/>
    <n v="8"/>
    <x v="1"/>
  </r>
  <r>
    <n v="4"/>
    <x v="3"/>
    <s v="Male"/>
    <n v="5752454259"/>
    <s v="ohumbee3@prlog.org"/>
    <n v="1"/>
    <n v="1"/>
    <n v="97"/>
    <n v="99"/>
    <n v="17"/>
    <x v="0"/>
  </r>
  <r>
    <n v="5"/>
    <x v="4"/>
    <s v="Male"/>
    <n v="2751532990"/>
    <s v="egummory4@ustream.tv"/>
    <n v="70"/>
    <n v="58"/>
    <n v="52"/>
    <n v="180"/>
    <n v="9"/>
    <x v="1"/>
  </r>
  <r>
    <n v="6"/>
    <x v="5"/>
    <s v="Female"/>
    <n v="6521213354"/>
    <s v="kknaggs5@opensource.org"/>
    <n v="16"/>
    <n v="52"/>
    <n v="57"/>
    <n v="125"/>
    <n v="15"/>
    <x v="0"/>
  </r>
  <r>
    <n v="7"/>
    <x v="6"/>
    <s v="Male"/>
    <n v="1198962002"/>
    <s v="lewenson6@canalblog.com"/>
    <n v="66"/>
    <n v="99"/>
    <n v="35"/>
    <n v="200"/>
    <n v="7"/>
    <x v="1"/>
  </r>
  <r>
    <n v="8"/>
    <x v="7"/>
    <s v="Male"/>
    <n v="4079996055"/>
    <s v="wfranceschelli7@ezinearticles.com"/>
    <n v="78"/>
    <n v="83"/>
    <n v="53"/>
    <n v="214"/>
    <n v="6"/>
    <x v="1"/>
  </r>
  <r>
    <n v="9"/>
    <x v="8"/>
    <s v="Male"/>
    <n v="3138421525"/>
    <s v="athake8@pagesperso-orange.fr"/>
    <n v="19"/>
    <n v="81"/>
    <n v="75"/>
    <n v="175"/>
    <n v="10"/>
    <x v="1"/>
  </r>
  <r>
    <n v="10"/>
    <x v="9"/>
    <s v="Male"/>
    <n v="3302022536"/>
    <s v="bdjurdjevic9@cocolog-nifty.com"/>
    <n v="13"/>
    <n v="13"/>
    <n v="48"/>
    <n v="74"/>
    <n v="19"/>
    <x v="0"/>
  </r>
  <r>
    <n v="11"/>
    <x v="10"/>
    <s v="Female"/>
    <n v="3046630514"/>
    <s v="wvinealla@cnn.com"/>
    <n v="12"/>
    <n v="3"/>
    <n v="42"/>
    <n v="57"/>
    <n v="20"/>
    <x v="0"/>
  </r>
  <r>
    <n v="12"/>
    <x v="11"/>
    <s v="Male"/>
    <n v="4098013775"/>
    <s v="mraxworthyb@sciencedaily.com"/>
    <n v="81"/>
    <n v="85"/>
    <n v="70"/>
    <n v="236"/>
    <n v="2"/>
    <x v="1"/>
  </r>
  <r>
    <n v="13"/>
    <x v="12"/>
    <s v="Male"/>
    <n v="4884429201"/>
    <s v="kkropachc@vistaprint.com"/>
    <n v="98"/>
    <n v="93"/>
    <n v="95"/>
    <n v="286"/>
    <n v="1"/>
    <x v="1"/>
  </r>
  <r>
    <n v="14"/>
    <x v="13"/>
    <s v="Female"/>
    <n v="6015978230"/>
    <s v="lmatteaccid@aboutads.info"/>
    <n v="63"/>
    <n v="54"/>
    <n v="9"/>
    <n v="126"/>
    <n v="14"/>
    <x v="0"/>
  </r>
  <r>
    <n v="15"/>
    <x v="14"/>
    <s v="Female"/>
    <n v="6449971492"/>
    <s v="pkenne@scientificamerican.com"/>
    <n v="36"/>
    <n v="50"/>
    <n v="48"/>
    <n v="134"/>
    <n v="13"/>
    <x v="0"/>
  </r>
  <r>
    <n v="16"/>
    <x v="15"/>
    <s v="Male"/>
    <n v="5197340734"/>
    <s v="mpratleyf@paginegialle.it"/>
    <n v="86"/>
    <n v="74"/>
    <n v="64"/>
    <n v="224"/>
    <n v="3"/>
    <x v="1"/>
  </r>
  <r>
    <n v="17"/>
    <x v="16"/>
    <s v="Male"/>
    <n v="7075720417"/>
    <s v="ttanng@sina.com.cn"/>
    <n v="69"/>
    <n v="63"/>
    <n v="86"/>
    <n v="218"/>
    <n v="5"/>
    <x v="1"/>
  </r>
  <r>
    <n v="18"/>
    <x v="17"/>
    <s v="Male"/>
    <n v="6404932859"/>
    <s v="gmilbornh@scientificamerican.com"/>
    <n v="13"/>
    <n v="5"/>
    <n v="63"/>
    <n v="81"/>
    <n v="18"/>
    <x v="0"/>
  </r>
  <r>
    <n v="19"/>
    <x v="18"/>
    <s v="Male"/>
    <n v="7114166077"/>
    <s v="dwilcotti@live.com"/>
    <n v="99"/>
    <n v="31"/>
    <n v="34"/>
    <n v="164"/>
    <n v="11"/>
    <x v="0"/>
  </r>
  <r>
    <n v="20"/>
    <x v="19"/>
    <s v="Male"/>
    <n v="7855065742"/>
    <s v="pwallbrookj@cam.ac.uk"/>
    <n v="2"/>
    <n v="52"/>
    <n v="92"/>
    <n v="146"/>
    <n v="1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x v="0"/>
    <n v="5169743363"/>
    <s v="sclemmensen0@ifeng.com"/>
    <n v="4"/>
    <n v="22"/>
    <n v="85"/>
    <n v="111"/>
    <n v="16"/>
    <x v="0"/>
  </r>
  <r>
    <n v="2"/>
    <x v="1"/>
    <x v="0"/>
    <n v="3849943555"/>
    <s v="wgrouvel1@sakura.ne.jp"/>
    <n v="79"/>
    <n v="49"/>
    <n v="94"/>
    <n v="222"/>
    <n v="4"/>
    <x v="1"/>
  </r>
  <r>
    <n v="3"/>
    <x v="2"/>
    <x v="1"/>
    <n v="4477991191"/>
    <s v="rpawlyn2@amazon.co.uk"/>
    <n v="87"/>
    <n v="66"/>
    <n v="32"/>
    <n v="185"/>
    <n v="8"/>
    <x v="1"/>
  </r>
  <r>
    <n v="4"/>
    <x v="3"/>
    <x v="1"/>
    <n v="5752454259"/>
    <s v="ohumbee3@prlog.org"/>
    <n v="1"/>
    <n v="1"/>
    <n v="97"/>
    <n v="99"/>
    <n v="17"/>
    <x v="0"/>
  </r>
  <r>
    <n v="5"/>
    <x v="4"/>
    <x v="1"/>
    <n v="2751532990"/>
    <s v="egummory4@ustream.tv"/>
    <n v="70"/>
    <n v="58"/>
    <n v="52"/>
    <n v="180"/>
    <n v="9"/>
    <x v="1"/>
  </r>
  <r>
    <n v="6"/>
    <x v="5"/>
    <x v="0"/>
    <n v="6521213354"/>
    <s v="kknaggs5@opensource.org"/>
    <n v="16"/>
    <n v="52"/>
    <n v="57"/>
    <n v="125"/>
    <n v="15"/>
    <x v="0"/>
  </r>
  <r>
    <n v="7"/>
    <x v="6"/>
    <x v="1"/>
    <n v="1198962002"/>
    <s v="lewenson6@canalblog.com"/>
    <n v="66"/>
    <n v="99"/>
    <n v="35"/>
    <n v="200"/>
    <n v="7"/>
    <x v="1"/>
  </r>
  <r>
    <n v="8"/>
    <x v="7"/>
    <x v="1"/>
    <n v="4079996055"/>
    <s v="wfranceschelli7@ezinearticles.com"/>
    <n v="78"/>
    <n v="83"/>
    <n v="53"/>
    <n v="214"/>
    <n v="6"/>
    <x v="1"/>
  </r>
  <r>
    <n v="9"/>
    <x v="8"/>
    <x v="1"/>
    <n v="3138421525"/>
    <s v="athake8@pagesperso-orange.fr"/>
    <n v="19"/>
    <n v="81"/>
    <n v="75"/>
    <n v="175"/>
    <n v="10"/>
    <x v="1"/>
  </r>
  <r>
    <n v="10"/>
    <x v="9"/>
    <x v="1"/>
    <n v="3302022536"/>
    <s v="bdjurdjevic9@cocolog-nifty.com"/>
    <n v="13"/>
    <n v="13"/>
    <n v="48"/>
    <n v="74"/>
    <n v="19"/>
    <x v="0"/>
  </r>
  <r>
    <n v="11"/>
    <x v="10"/>
    <x v="0"/>
    <n v="3046630514"/>
    <s v="wvinealla@cnn.com"/>
    <n v="12"/>
    <n v="3"/>
    <n v="42"/>
    <n v="57"/>
    <n v="20"/>
    <x v="0"/>
  </r>
  <r>
    <n v="12"/>
    <x v="11"/>
    <x v="1"/>
    <n v="4098013775"/>
    <s v="mraxworthyb@sciencedaily.com"/>
    <n v="81"/>
    <n v="85"/>
    <n v="70"/>
    <n v="236"/>
    <n v="2"/>
    <x v="1"/>
  </r>
  <r>
    <n v="13"/>
    <x v="12"/>
    <x v="1"/>
    <n v="4884429201"/>
    <s v="kkropachc@vistaprint.com"/>
    <n v="98"/>
    <n v="93"/>
    <n v="95"/>
    <n v="286"/>
    <n v="1"/>
    <x v="1"/>
  </r>
  <r>
    <n v="14"/>
    <x v="13"/>
    <x v="0"/>
    <n v="6015978230"/>
    <s v="lmatteaccid@aboutads.info"/>
    <n v="63"/>
    <n v="54"/>
    <n v="9"/>
    <n v="126"/>
    <n v="14"/>
    <x v="0"/>
  </r>
  <r>
    <n v="15"/>
    <x v="14"/>
    <x v="0"/>
    <n v="6449971492"/>
    <s v="pkenne@scientificamerican.com"/>
    <n v="36"/>
    <n v="50"/>
    <n v="48"/>
    <n v="134"/>
    <n v="13"/>
    <x v="0"/>
  </r>
  <r>
    <n v="16"/>
    <x v="15"/>
    <x v="1"/>
    <n v="5197340734"/>
    <s v="mpratleyf@paginegialle.it"/>
    <n v="86"/>
    <n v="74"/>
    <n v="64"/>
    <n v="224"/>
    <n v="3"/>
    <x v="1"/>
  </r>
  <r>
    <n v="17"/>
    <x v="16"/>
    <x v="1"/>
    <n v="7075720417"/>
    <s v="ttanng@sina.com.cn"/>
    <n v="69"/>
    <n v="63"/>
    <n v="86"/>
    <n v="218"/>
    <n v="5"/>
    <x v="1"/>
  </r>
  <r>
    <n v="18"/>
    <x v="17"/>
    <x v="1"/>
    <n v="6404932859"/>
    <s v="gmilbornh@scientificamerican.com"/>
    <n v="13"/>
    <n v="5"/>
    <n v="63"/>
    <n v="81"/>
    <n v="18"/>
    <x v="0"/>
  </r>
  <r>
    <n v="19"/>
    <x v="18"/>
    <x v="1"/>
    <n v="7114166077"/>
    <s v="dwilcotti@live.com"/>
    <n v="99"/>
    <n v="31"/>
    <n v="34"/>
    <n v="164"/>
    <n v="11"/>
    <x v="0"/>
  </r>
  <r>
    <n v="20"/>
    <x v="19"/>
    <x v="1"/>
    <n v="7855065742"/>
    <s v="pwallbrookj@cam.ac.uk"/>
    <n v="2"/>
    <n v="52"/>
    <n v="92"/>
    <n v="146"/>
    <n v="12"/>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s v="sIBilla CLEmmensen"/>
    <x v="0"/>
    <n v="5169743363"/>
    <s v="sclemmensen0@ifeng.com"/>
    <n v="4"/>
    <n v="22"/>
    <n v="85"/>
    <n v="111"/>
    <n v="16"/>
    <x v="0"/>
  </r>
  <r>
    <n v="2"/>
    <s v="WENDYE grouvel"/>
    <x v="0"/>
    <n v="3849943555"/>
    <s v="wgrouvel1@sakura.ne.jp"/>
    <n v="79"/>
    <n v="49"/>
    <n v="94"/>
    <n v="222"/>
    <n v="4"/>
    <x v="1"/>
  </r>
  <r>
    <n v="3"/>
    <s v="ReGGIe pawLYN"/>
    <x v="1"/>
    <n v="4477991191"/>
    <s v="rpawlyn2@amazon.co.uk"/>
    <n v="87"/>
    <n v="66"/>
    <n v="32"/>
    <n v="185"/>
    <n v="8"/>
    <x v="1"/>
  </r>
  <r>
    <n v="4"/>
    <s v="orland HUMBee"/>
    <x v="1"/>
    <n v="5752454259"/>
    <s v="ohumbee3@prlog.org"/>
    <n v="1"/>
    <n v="1"/>
    <n v="97"/>
    <n v="99"/>
    <n v="17"/>
    <x v="0"/>
  </r>
  <r>
    <n v="5"/>
    <s v="ERastus gummory"/>
    <x v="1"/>
    <n v="2751532990"/>
    <s v="egummory4@ustream.tv"/>
    <n v="70"/>
    <n v="58"/>
    <n v="52"/>
    <n v="180"/>
    <n v="9"/>
    <x v="1"/>
  </r>
  <r>
    <n v="6"/>
    <s v="kANDY knagGs"/>
    <x v="0"/>
    <n v="6521213354"/>
    <s v="kknaggs5@opensource.org"/>
    <n v="16"/>
    <n v="52"/>
    <n v="57"/>
    <n v="125"/>
    <n v="15"/>
    <x v="0"/>
  </r>
  <r>
    <n v="7"/>
    <s v="LEK EWENson"/>
    <x v="1"/>
    <n v="1198962002"/>
    <s v="lewenson6@canalblog.com"/>
    <n v="66"/>
    <n v="99"/>
    <n v="35"/>
    <n v="200"/>
    <n v="7"/>
    <x v="1"/>
  </r>
  <r>
    <n v="8"/>
    <s v="wERNER franceschelli"/>
    <x v="1"/>
    <n v="4079996055"/>
    <s v="wfranceschelli7@ezinearticles.com"/>
    <n v="78"/>
    <n v="83"/>
    <n v="53"/>
    <n v="214"/>
    <n v="6"/>
    <x v="1"/>
  </r>
  <r>
    <n v="9"/>
    <s v="ALister THAke"/>
    <x v="1"/>
    <n v="3138421525"/>
    <s v="athake8@pagesperso-orange.fr"/>
    <n v="19"/>
    <n v="81"/>
    <n v="75"/>
    <n v="175"/>
    <n v="10"/>
    <x v="1"/>
  </r>
  <r>
    <n v="10"/>
    <s v="barCLAY djURDjevic"/>
    <x v="1"/>
    <n v="3302022536"/>
    <s v="bdjurdjevic9@cocolog-nifty.com"/>
    <n v="13"/>
    <n v="13"/>
    <n v="48"/>
    <n v="74"/>
    <n v="19"/>
    <x v="0"/>
  </r>
  <r>
    <n v="11"/>
    <s v="wendi VINEAll"/>
    <x v="0"/>
    <n v="3046630514"/>
    <s v="wvinealla@cnn.com"/>
    <n v="12"/>
    <n v="3"/>
    <n v="42"/>
    <n v="57"/>
    <n v="20"/>
    <x v="0"/>
  </r>
  <r>
    <n v="12"/>
    <s v="MayNe raxWorthy"/>
    <x v="1"/>
    <n v="4098013775"/>
    <s v="mraxworthyb@sciencedaily.com"/>
    <n v="81"/>
    <n v="85"/>
    <n v="70"/>
    <n v="236"/>
    <n v="2"/>
    <x v="1"/>
  </r>
  <r>
    <n v="13"/>
    <s v="KENTon kropach"/>
    <x v="1"/>
    <n v="4884429201"/>
    <s v="kkropachc@vistaprint.com"/>
    <n v="98"/>
    <n v="93"/>
    <n v="95"/>
    <n v="286"/>
    <n v="1"/>
    <x v="1"/>
  </r>
  <r>
    <n v="14"/>
    <s v="LOTta matteacci"/>
    <x v="0"/>
    <n v="6015978230"/>
    <s v="lmatteaccid@aboutads.info"/>
    <n v="63"/>
    <n v="54"/>
    <n v="9"/>
    <n v="126"/>
    <n v="14"/>
    <x v="0"/>
  </r>
  <r>
    <n v="15"/>
    <s v="patricia KENN"/>
    <x v="0"/>
    <n v="6449971492"/>
    <s v="pkenne@scientificamerican.com"/>
    <n v="36"/>
    <n v="50"/>
    <n v="48"/>
    <n v="134"/>
    <n v="13"/>
    <x v="0"/>
  </r>
  <r>
    <n v="16"/>
    <s v="moRTIE pratley"/>
    <x v="1"/>
    <n v="5197340734"/>
    <s v="mpratleyf@paginegialle.it"/>
    <n v="86"/>
    <n v="74"/>
    <n v="64"/>
    <n v="224"/>
    <n v="3"/>
    <x v="1"/>
  </r>
  <r>
    <n v="17"/>
    <s v="TIMothy Tann"/>
    <x v="1"/>
    <n v="7075720417"/>
    <s v="ttanng@sina.com.cn"/>
    <n v="69"/>
    <n v="63"/>
    <n v="86"/>
    <n v="218"/>
    <n v="5"/>
    <x v="1"/>
  </r>
  <r>
    <n v="18"/>
    <s v="GUTHRIE milborn"/>
    <x v="1"/>
    <n v="6404932859"/>
    <s v="gmilbornh@scientificamerican.com"/>
    <n v="13"/>
    <n v="5"/>
    <n v="63"/>
    <n v="81"/>
    <n v="18"/>
    <x v="0"/>
  </r>
  <r>
    <n v="19"/>
    <s v="DAL wilCOTT"/>
    <x v="1"/>
    <n v="7114166077"/>
    <s v="dwilcotti@live.com"/>
    <n v="99"/>
    <n v="31"/>
    <n v="34"/>
    <n v="164"/>
    <n v="11"/>
    <x v="0"/>
  </r>
  <r>
    <n v="20"/>
    <s v="paddie WallBROOK"/>
    <x v="1"/>
    <n v="7855065742"/>
    <s v="pwallbrookj@cam.ac.uk"/>
    <n v="2"/>
    <n v="52"/>
    <n v="92"/>
    <n v="146"/>
    <n v="1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9304D2-41DB-4070-81A1-C6AA41E44B9D}"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6:D40" firstHeaderRow="1" firstDataRow="2" firstDataCol="1"/>
  <pivotFields count="11">
    <pivotField dataField="1" showAll="0"/>
    <pivotField axis="axisRow" showAll="0">
      <items count="21">
        <item x="8"/>
        <item x="9"/>
        <item x="18"/>
        <item x="4"/>
        <item x="17"/>
        <item x="5"/>
        <item x="12"/>
        <item x="6"/>
        <item x="13"/>
        <item x="11"/>
        <item x="15"/>
        <item x="3"/>
        <item x="19"/>
        <item x="14"/>
        <item x="2"/>
        <item x="0"/>
        <item x="16"/>
        <item x="10"/>
        <item x="1"/>
        <item x="7"/>
        <item t="default"/>
      </items>
    </pivotField>
    <pivotField axis="axisRow" showAll="0">
      <items count="3">
        <item sd="0" x="0"/>
        <item sd="0" x="1"/>
        <item t="default" sd="0"/>
      </items>
    </pivotField>
    <pivotField showAll="0"/>
    <pivotField showAll="0"/>
    <pivotField showAll="0"/>
    <pivotField showAll="0"/>
    <pivotField showAll="0"/>
    <pivotField showAll="0"/>
    <pivotField showAll="0"/>
    <pivotField axis="axisCol" showAll="0">
      <items count="3">
        <item x="1"/>
        <item x="0"/>
        <item t="default"/>
      </items>
    </pivotField>
  </pivotFields>
  <rowFields count="2">
    <field x="2"/>
    <field x="1"/>
  </rowFields>
  <rowItems count="3">
    <i>
      <x/>
    </i>
    <i>
      <x v="1"/>
    </i>
    <i t="grand">
      <x/>
    </i>
  </rowItems>
  <colFields count="1">
    <field x="10"/>
  </colFields>
  <colItems count="3">
    <i>
      <x/>
    </i>
    <i>
      <x v="1"/>
    </i>
    <i t="grand">
      <x/>
    </i>
  </colItems>
  <dataFields count="1">
    <dataField name="Count of id" fld="0" subtotal="count" baseField="0" baseItem="0"/>
  </dataFields>
  <chartFormats count="1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4" format="20" series="1">
      <pivotArea type="data" outline="0" fieldPosition="0">
        <references count="2">
          <reference field="4294967294" count="1" selected="0">
            <x v="0"/>
          </reference>
          <reference field="10" count="1" selected="0">
            <x v="0"/>
          </reference>
        </references>
      </pivotArea>
    </chartFormat>
    <chartFormat chart="4" format="21">
      <pivotArea type="data" outline="0" fieldPosition="0">
        <references count="3">
          <reference field="4294967294" count="1" selected="0">
            <x v="0"/>
          </reference>
          <reference field="2" count="1" selected="0">
            <x v="0"/>
          </reference>
          <reference field="10" count="1" selected="0">
            <x v="0"/>
          </reference>
        </references>
      </pivotArea>
    </chartFormat>
    <chartFormat chart="4" format="22">
      <pivotArea type="data" outline="0" fieldPosition="0">
        <references count="3">
          <reference field="4294967294" count="1" selected="0">
            <x v="0"/>
          </reference>
          <reference field="2" count="1" selected="0">
            <x v="1"/>
          </reference>
          <reference field="10" count="1" selected="0">
            <x v="0"/>
          </reference>
        </references>
      </pivotArea>
    </chartFormat>
    <chartFormat chart="4" format="23" series="1">
      <pivotArea type="data" outline="0" fieldPosition="0">
        <references count="2">
          <reference field="4294967294" count="1" selected="0">
            <x v="0"/>
          </reference>
          <reference field="10" count="1" selected="0">
            <x v="1"/>
          </reference>
        </references>
      </pivotArea>
    </chartFormat>
    <chartFormat chart="4" format="24">
      <pivotArea type="data" outline="0" fieldPosition="0">
        <references count="3">
          <reference field="4294967294" count="1" selected="0">
            <x v="0"/>
          </reference>
          <reference field="2" count="1" selected="0">
            <x v="0"/>
          </reference>
          <reference field="10" count="1" selected="0">
            <x v="1"/>
          </reference>
        </references>
      </pivotArea>
    </chartFormat>
    <chartFormat chart="4" format="25">
      <pivotArea type="data" outline="0" fieldPosition="0">
        <references count="3">
          <reference field="4294967294" count="1" selected="0">
            <x v="0"/>
          </reference>
          <reference field="2" count="1" selected="0">
            <x v="1"/>
          </reference>
          <reference field="10" count="1" selected="0">
            <x v="1"/>
          </reference>
        </references>
      </pivotArea>
    </chartFormat>
    <chartFormat chart="0" format="2">
      <pivotArea type="data" outline="0" fieldPosition="0">
        <references count="3">
          <reference field="4294967294" count="1" selected="0">
            <x v="0"/>
          </reference>
          <reference field="2" count="1" selected="0">
            <x v="0"/>
          </reference>
          <reference field="10" count="1" selected="0">
            <x v="0"/>
          </reference>
        </references>
      </pivotArea>
    </chartFormat>
    <chartFormat chart="0" format="3">
      <pivotArea type="data" outline="0" fieldPosition="0">
        <references count="3">
          <reference field="4294967294" count="1" selected="0">
            <x v="0"/>
          </reference>
          <reference field="2" count="1" selected="0">
            <x v="1"/>
          </reference>
          <reference field="10" count="1" selected="0">
            <x v="0"/>
          </reference>
        </references>
      </pivotArea>
    </chartFormat>
    <chartFormat chart="0" format="4">
      <pivotArea type="data" outline="0" fieldPosition="0">
        <references count="3">
          <reference field="4294967294" count="1" selected="0">
            <x v="0"/>
          </reference>
          <reference field="2" count="1" selected="0">
            <x v="0"/>
          </reference>
          <reference field="10" count="1" selected="0">
            <x v="1"/>
          </reference>
        </references>
      </pivotArea>
    </chartFormat>
    <chartFormat chart="0" format="5">
      <pivotArea type="data" outline="0" fieldPosition="0">
        <references count="3">
          <reference field="4294967294" count="1" selected="0">
            <x v="0"/>
          </reference>
          <reference field="2"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5FF60F-C65E-42CC-BCB9-05A7A02795D6}"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D21" firstHeaderRow="0" firstDataRow="1" firstDataCol="1"/>
  <pivotFields count="11">
    <pivotField showAll="0"/>
    <pivotField showAll="0"/>
    <pivotField axis="axisRow" showAll="0">
      <items count="3">
        <item x="0"/>
        <item x="1"/>
        <item t="default"/>
      </items>
    </pivotField>
    <pivotField showAll="0"/>
    <pivotField showAll="0"/>
    <pivotField dataField="1" showAll="0"/>
    <pivotField dataField="1" showAll="0"/>
    <pivotField dataField="1" showAll="0"/>
    <pivotField showAll="0"/>
    <pivotField showAll="0"/>
    <pivotField showAll="0">
      <items count="3">
        <item x="1"/>
        <item x="0"/>
        <item t="default"/>
      </items>
    </pivotField>
  </pivotFields>
  <rowFields count="1">
    <field x="2"/>
  </rowFields>
  <rowItems count="3">
    <i>
      <x/>
    </i>
    <i>
      <x v="1"/>
    </i>
    <i t="grand">
      <x/>
    </i>
  </rowItems>
  <colFields count="1">
    <field x="-2"/>
  </colFields>
  <colItems count="3">
    <i>
      <x/>
    </i>
    <i i="1">
      <x v="1"/>
    </i>
    <i i="2">
      <x v="2"/>
    </i>
  </colItems>
  <dataFields count="3">
    <dataField name="Average of Physics" fld="5" subtotal="average" baseField="2" baseItem="0"/>
    <dataField name="Average of Chemistry" fld="6" subtotal="average" baseField="2" baseItem="0"/>
    <dataField name="Average of Maths" fld="7" subtotal="average" baseField="2" baseItem="0"/>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5F4DB1-87C2-471B-AC31-3512FE583233}"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1">
    <pivotField showAll="0"/>
    <pivotField showAll="0"/>
    <pivotField axis="axisRow" showAll="0">
      <items count="3">
        <item x="0"/>
        <item x="1"/>
        <item t="default"/>
      </items>
    </pivotField>
    <pivotField showAll="0"/>
    <pivotField showAll="0"/>
    <pivotField showAll="0"/>
    <pivotField showAll="0"/>
    <pivotField showAll="0"/>
    <pivotField dataField="1" showAll="0"/>
    <pivotField showAll="0"/>
    <pivotField axis="axisCol" showAll="0">
      <items count="3">
        <item x="1"/>
        <item x="0"/>
        <item t="default"/>
      </items>
    </pivotField>
  </pivotFields>
  <rowFields count="1">
    <field x="2"/>
  </rowFields>
  <rowItems count="3">
    <i>
      <x/>
    </i>
    <i>
      <x v="1"/>
    </i>
    <i t="grand">
      <x/>
    </i>
  </rowItems>
  <colFields count="1">
    <field x="10"/>
  </colFields>
  <colItems count="3">
    <i>
      <x/>
    </i>
    <i>
      <x v="1"/>
    </i>
    <i t="grand">
      <x/>
    </i>
  </colItems>
  <dataFields count="1">
    <dataField name="Average of Total" fld="8" subtotal="average" baseField="2" baseItem="0" numFmtId="1"/>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4" format="8" series="1">
      <pivotArea type="data" outline="0" fieldPosition="0">
        <references count="2">
          <reference field="4294967294" count="1" selected="0">
            <x v="0"/>
          </reference>
          <reference field="10" count="1" selected="0">
            <x v="0"/>
          </reference>
        </references>
      </pivotArea>
    </chartFormat>
    <chartFormat chart="4" format="9"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780D4F-47E1-4C5E-A024-307029EA26DF}" name="PivotTable2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B96" firstHeaderRow="1" firstDataRow="1" firstDataCol="1"/>
  <pivotFields count="11">
    <pivotField showAll="0"/>
    <pivotField axis="axisRow" showAll="0" sortType="descending">
      <items count="21">
        <item x="7"/>
        <item x="1"/>
        <item x="10"/>
        <item x="16"/>
        <item x="0"/>
        <item x="2"/>
        <item x="14"/>
        <item x="19"/>
        <item x="3"/>
        <item x="15"/>
        <item x="11"/>
        <item x="13"/>
        <item x="6"/>
        <item x="12"/>
        <item x="5"/>
        <item x="17"/>
        <item x="4"/>
        <item x="18"/>
        <item x="9"/>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s>
  <rowFields count="1">
    <field x="1"/>
  </rowFields>
  <rowItems count="21">
    <i>
      <x v="13"/>
    </i>
    <i>
      <x v="10"/>
    </i>
    <i>
      <x v="9"/>
    </i>
    <i>
      <x v="1"/>
    </i>
    <i>
      <x v="3"/>
    </i>
    <i>
      <x/>
    </i>
    <i>
      <x v="12"/>
    </i>
    <i>
      <x v="5"/>
    </i>
    <i>
      <x v="16"/>
    </i>
    <i>
      <x v="19"/>
    </i>
    <i>
      <x v="17"/>
    </i>
    <i>
      <x v="7"/>
    </i>
    <i>
      <x v="6"/>
    </i>
    <i>
      <x v="11"/>
    </i>
    <i>
      <x v="14"/>
    </i>
    <i>
      <x v="4"/>
    </i>
    <i>
      <x v="8"/>
    </i>
    <i>
      <x v="15"/>
    </i>
    <i>
      <x v="18"/>
    </i>
    <i>
      <x v="2"/>
    </i>
    <i t="grand">
      <x/>
    </i>
  </rowItems>
  <colItems count="1">
    <i/>
  </colItems>
  <dataFields count="1">
    <dataField name="Sum of Total" fld="8" baseField="0" baseItem="0"/>
  </dataFields>
  <conditionalFormats count="2">
    <conditionalFormat type="all" priority="16">
      <pivotAreas count="1">
        <pivotArea type="data" collapsedLevelsAreSubtotals="1" fieldPosition="0">
          <references count="2">
            <reference field="4294967294" count="1" selected="0">
              <x v="0"/>
            </reference>
            <reference field="1" count="20">
              <x v="0"/>
              <x v="1"/>
              <x v="2"/>
              <x v="3"/>
              <x v="4"/>
              <x v="5"/>
              <x v="6"/>
              <x v="7"/>
              <x v="8"/>
              <x v="9"/>
              <x v="10"/>
              <x v="11"/>
              <x v="12"/>
              <x v="13"/>
              <x v="14"/>
              <x v="15"/>
              <x v="16"/>
              <x v="17"/>
              <x v="18"/>
              <x v="19"/>
            </reference>
          </references>
        </pivotArea>
      </pivotAreas>
    </conditionalFormat>
    <conditionalFormat type="all" priority="17">
      <pivotAreas count="1">
        <pivotArea type="data" collapsedLevelsAreSubtotals="1" fieldPosition="0">
          <references count="2">
            <reference field="4294967294" count="1" selected="0">
              <x v="0"/>
            </reference>
            <reference field="1" count="20">
              <x v="0"/>
              <x v="1"/>
              <x v="2"/>
              <x v="3"/>
              <x v="4"/>
              <x v="5"/>
              <x v="6"/>
              <x v="7"/>
              <x v="8"/>
              <x v="9"/>
              <x v="10"/>
              <x v="11"/>
              <x v="12"/>
              <x v="13"/>
              <x v="14"/>
              <x v="15"/>
              <x v="16"/>
              <x v="17"/>
              <x v="18"/>
              <x v="1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247610-6CED-443D-833E-43E3F82B42E4}"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5:D58" firstHeaderRow="0" firstDataRow="1" firstDataCol="1"/>
  <pivotFields count="11">
    <pivotField showAll="0"/>
    <pivotField axis="axisRow" showAll="0">
      <items count="21">
        <item x="8"/>
        <item x="9"/>
        <item x="18"/>
        <item x="4"/>
        <item x="17"/>
        <item x="5"/>
        <item x="12"/>
        <item x="6"/>
        <item x="13"/>
        <item x="11"/>
        <item x="15"/>
        <item x="3"/>
        <item x="19"/>
        <item x="14"/>
        <item x="2"/>
        <item x="0"/>
        <item x="16"/>
        <item x="10"/>
        <item x="1"/>
        <item x="7"/>
        <item t="default"/>
      </items>
    </pivotField>
    <pivotField showAll="0"/>
    <pivotField showAll="0"/>
    <pivotField showAll="0"/>
    <pivotField dataField="1" showAll="0"/>
    <pivotField dataField="1" showAll="0"/>
    <pivotField dataField="1" showAll="0"/>
    <pivotField showAll="0"/>
    <pivotField showAll="0"/>
    <pivotField axis="axisRow" showAll="0">
      <items count="3">
        <item sd="0" x="1"/>
        <item sd="0" x="0"/>
        <item t="default" sd="0"/>
      </items>
    </pivotField>
  </pivotFields>
  <rowFields count="2">
    <field x="10"/>
    <field x="1"/>
  </rowFields>
  <rowItems count="3">
    <i>
      <x/>
    </i>
    <i>
      <x v="1"/>
    </i>
    <i t="grand">
      <x/>
    </i>
  </rowItems>
  <colFields count="1">
    <field x="-2"/>
  </colFields>
  <colItems count="3">
    <i>
      <x/>
    </i>
    <i i="1">
      <x v="1"/>
    </i>
    <i i="2">
      <x v="2"/>
    </i>
  </colItems>
  <dataFields count="3">
    <dataField name="Sum of Physics" fld="5" baseField="0" baseItem="0"/>
    <dataField name="Sum of Maths" fld="7" baseField="0" baseItem="0"/>
    <dataField name="Sum of Chemistry"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95DC16B-0FF8-4E13-A2B9-CF6D9DEBDE5D}" sourceName="gender">
  <pivotTables>
    <pivotTable tabId="3" name="PivotTable2"/>
    <pivotTable tabId="3" name="PivotTable3"/>
  </pivotTables>
  <data>
    <tabular pivotCacheId="10328474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ge" xr10:uid="{01964245-1FA9-4DB5-BB96-9E2B804AD892}" sourceName="range">
  <pivotTables>
    <pivotTable tabId="3" name="PivotTable3"/>
    <pivotTable tabId="3" name="PivotTable2"/>
  </pivotTables>
  <data>
    <tabular pivotCacheId="103284746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D4D3D7B-1FB1-4C44-A6E3-53ECA28C8085}" cache="Slicer_gender" caption="gender" rowHeight="234950"/>
  <slicer name="range" xr10:uid="{8A5B83DD-EB30-46AD-BC18-DAE53CD3237A}" cache="Slicer_range" caption="range"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3E4B6-21C1-459F-8CB1-6ABCED0181C3}">
  <dimension ref="A1:P21"/>
  <sheetViews>
    <sheetView tabSelected="1" workbookViewId="0">
      <selection activeCell="J2" sqref="J2"/>
    </sheetView>
  </sheetViews>
  <sheetFormatPr defaultRowHeight="14.4" x14ac:dyDescent="0.3"/>
  <cols>
    <col min="2" max="2" width="20.88671875" bestFit="1" customWidth="1"/>
    <col min="4" max="4" width="12.109375" bestFit="1" customWidth="1"/>
    <col min="5" max="5" width="33.44140625" bestFit="1" customWidth="1"/>
    <col min="7" max="7" width="10.109375" bestFit="1" customWidth="1"/>
  </cols>
  <sheetData>
    <row r="1" spans="1:16" ht="15.6" x14ac:dyDescent="0.3">
      <c r="A1" s="1" t="s">
        <v>0</v>
      </c>
      <c r="B1" s="1" t="s">
        <v>1</v>
      </c>
      <c r="C1" s="1" t="s">
        <v>2</v>
      </c>
      <c r="D1" s="1" t="s">
        <v>3</v>
      </c>
      <c r="E1" s="1" t="s">
        <v>4</v>
      </c>
      <c r="F1" s="1" t="s">
        <v>5</v>
      </c>
      <c r="G1" s="1" t="s">
        <v>6</v>
      </c>
      <c r="H1" s="1" t="s">
        <v>7</v>
      </c>
      <c r="I1" s="2" t="s">
        <v>8</v>
      </c>
      <c r="J1" s="2" t="s">
        <v>9</v>
      </c>
      <c r="K1" s="2" t="s">
        <v>10</v>
      </c>
      <c r="O1">
        <v>0</v>
      </c>
      <c r="P1" s="4" t="s">
        <v>53</v>
      </c>
    </row>
    <row r="2" spans="1:16" ht="15.6" x14ac:dyDescent="0.3">
      <c r="A2" s="1">
        <v>1</v>
      </c>
      <c r="B2" s="1" t="s">
        <v>11</v>
      </c>
      <c r="C2" s="1" t="s">
        <v>12</v>
      </c>
      <c r="D2" s="1">
        <v>5169743363</v>
      </c>
      <c r="E2" s="1" t="s">
        <v>13</v>
      </c>
      <c r="F2" s="1">
        <v>4</v>
      </c>
      <c r="G2" s="1">
        <v>22</v>
      </c>
      <c r="H2" s="1">
        <v>85</v>
      </c>
      <c r="I2" s="2">
        <f>SUM(F2:H2)</f>
        <v>111</v>
      </c>
      <c r="J2" s="2">
        <f>RANK(I2,$I$2:$I$21,0)</f>
        <v>16</v>
      </c>
      <c r="K2" s="2" t="str">
        <f>VLOOKUP(J2,$O$1:$P$4,2,TRUE)</f>
        <v>11-20</v>
      </c>
      <c r="O2">
        <v>11</v>
      </c>
      <c r="P2" s="5" t="s">
        <v>54</v>
      </c>
    </row>
    <row r="3" spans="1:16" ht="15.6" x14ac:dyDescent="0.3">
      <c r="A3" s="1">
        <v>2</v>
      </c>
      <c r="B3" s="1" t="s">
        <v>14</v>
      </c>
      <c r="C3" s="1" t="s">
        <v>12</v>
      </c>
      <c r="D3" s="1">
        <v>3849943555</v>
      </c>
      <c r="E3" s="1" t="s">
        <v>15</v>
      </c>
      <c r="F3" s="1">
        <v>79</v>
      </c>
      <c r="G3" s="1">
        <v>49</v>
      </c>
      <c r="H3" s="1">
        <v>94</v>
      </c>
      <c r="I3" s="2">
        <f t="shared" ref="I3:I21" si="0">SUM(F3:H3)</f>
        <v>222</v>
      </c>
      <c r="J3" s="2">
        <f t="shared" ref="J3:J21" si="1">RANK(I3,$I$2:$I$21,0)</f>
        <v>4</v>
      </c>
      <c r="K3" s="2" t="str">
        <f t="shared" ref="K3:K21" si="2">VLOOKUP(J3,$O$1:$P$4,2,TRUE)</f>
        <v>1-10</v>
      </c>
      <c r="O3">
        <v>21</v>
      </c>
      <c r="P3" s="5" t="s">
        <v>55</v>
      </c>
    </row>
    <row r="4" spans="1:16" ht="15.6" x14ac:dyDescent="0.3">
      <c r="A4" s="1">
        <v>3</v>
      </c>
      <c r="B4" s="1" t="s">
        <v>16</v>
      </c>
      <c r="C4" s="1" t="s">
        <v>17</v>
      </c>
      <c r="D4" s="1">
        <v>4477991191</v>
      </c>
      <c r="E4" s="1" t="s">
        <v>18</v>
      </c>
      <c r="F4" s="1">
        <v>87</v>
      </c>
      <c r="G4" s="1">
        <v>66</v>
      </c>
      <c r="H4" s="1">
        <v>32</v>
      </c>
      <c r="I4" s="2">
        <f t="shared" si="0"/>
        <v>185</v>
      </c>
      <c r="J4" s="2">
        <f t="shared" si="1"/>
        <v>8</v>
      </c>
      <c r="K4" s="2" t="str">
        <f t="shared" si="2"/>
        <v>1-10</v>
      </c>
      <c r="O4">
        <v>31</v>
      </c>
      <c r="P4" s="5" t="s">
        <v>56</v>
      </c>
    </row>
    <row r="5" spans="1:16" ht="15.6" x14ac:dyDescent="0.3">
      <c r="A5" s="1">
        <v>4</v>
      </c>
      <c r="B5" s="1" t="s">
        <v>19</v>
      </c>
      <c r="C5" s="1" t="s">
        <v>17</v>
      </c>
      <c r="D5" s="1">
        <v>5752454259</v>
      </c>
      <c r="E5" s="1" t="s">
        <v>20</v>
      </c>
      <c r="F5" s="1">
        <v>1</v>
      </c>
      <c r="G5" s="1">
        <v>1</v>
      </c>
      <c r="H5" s="1">
        <v>97</v>
      </c>
      <c r="I5" s="2">
        <f t="shared" si="0"/>
        <v>99</v>
      </c>
      <c r="J5" s="2">
        <f t="shared" si="1"/>
        <v>17</v>
      </c>
      <c r="K5" s="2" t="str">
        <f t="shared" si="2"/>
        <v>11-20</v>
      </c>
    </row>
    <row r="6" spans="1:16" ht="15.6" x14ac:dyDescent="0.3">
      <c r="A6" s="1">
        <v>5</v>
      </c>
      <c r="B6" s="1" t="s">
        <v>21</v>
      </c>
      <c r="C6" s="1" t="s">
        <v>17</v>
      </c>
      <c r="D6" s="1">
        <v>2751532990</v>
      </c>
      <c r="E6" s="1" t="s">
        <v>22</v>
      </c>
      <c r="F6" s="1">
        <v>70</v>
      </c>
      <c r="G6" s="1">
        <v>58</v>
      </c>
      <c r="H6" s="1">
        <v>52</v>
      </c>
      <c r="I6" s="2">
        <f t="shared" si="0"/>
        <v>180</v>
      </c>
      <c r="J6" s="2">
        <f t="shared" si="1"/>
        <v>9</v>
      </c>
      <c r="K6" s="2" t="str">
        <f t="shared" si="2"/>
        <v>1-10</v>
      </c>
    </row>
    <row r="7" spans="1:16" ht="15.6" x14ac:dyDescent="0.3">
      <c r="A7" s="1">
        <v>6</v>
      </c>
      <c r="B7" s="1" t="s">
        <v>23</v>
      </c>
      <c r="C7" s="1" t="s">
        <v>12</v>
      </c>
      <c r="D7" s="1">
        <v>6521213354</v>
      </c>
      <c r="E7" s="1" t="s">
        <v>24</v>
      </c>
      <c r="F7" s="1">
        <v>16</v>
      </c>
      <c r="G7" s="1">
        <v>52</v>
      </c>
      <c r="H7" s="1">
        <v>57</v>
      </c>
      <c r="I7" s="2">
        <f t="shared" si="0"/>
        <v>125</v>
      </c>
      <c r="J7" s="2">
        <f t="shared" si="1"/>
        <v>15</v>
      </c>
      <c r="K7" s="2" t="str">
        <f t="shared" si="2"/>
        <v>11-20</v>
      </c>
    </row>
    <row r="8" spans="1:16" ht="15.6" x14ac:dyDescent="0.3">
      <c r="A8" s="1">
        <v>7</v>
      </c>
      <c r="B8" s="1" t="s">
        <v>25</v>
      </c>
      <c r="C8" s="1" t="s">
        <v>17</v>
      </c>
      <c r="D8" s="1">
        <v>1198962002</v>
      </c>
      <c r="E8" s="1" t="s">
        <v>26</v>
      </c>
      <c r="F8" s="1">
        <v>66</v>
      </c>
      <c r="G8" s="1">
        <v>99</v>
      </c>
      <c r="H8" s="1">
        <v>35</v>
      </c>
      <c r="I8" s="2">
        <f t="shared" si="0"/>
        <v>200</v>
      </c>
      <c r="J8" s="2">
        <f t="shared" si="1"/>
        <v>7</v>
      </c>
      <c r="K8" s="2" t="str">
        <f t="shared" si="2"/>
        <v>1-10</v>
      </c>
    </row>
    <row r="9" spans="1:16" ht="15.6" x14ac:dyDescent="0.3">
      <c r="A9" s="1">
        <v>8</v>
      </c>
      <c r="B9" s="1" t="s">
        <v>27</v>
      </c>
      <c r="C9" s="1" t="s">
        <v>17</v>
      </c>
      <c r="D9" s="1">
        <v>4079996055</v>
      </c>
      <c r="E9" s="1" t="s">
        <v>28</v>
      </c>
      <c r="F9" s="1">
        <v>78</v>
      </c>
      <c r="G9" s="1">
        <v>83</v>
      </c>
      <c r="H9" s="1">
        <v>53</v>
      </c>
      <c r="I9" s="2">
        <f t="shared" si="0"/>
        <v>214</v>
      </c>
      <c r="J9" s="2">
        <f t="shared" si="1"/>
        <v>6</v>
      </c>
      <c r="K9" s="2" t="str">
        <f t="shared" si="2"/>
        <v>1-10</v>
      </c>
    </row>
    <row r="10" spans="1:16" ht="15.6" x14ac:dyDescent="0.3">
      <c r="A10" s="1">
        <v>9</v>
      </c>
      <c r="B10" s="1" t="s">
        <v>29</v>
      </c>
      <c r="C10" s="1" t="s">
        <v>17</v>
      </c>
      <c r="D10" s="1">
        <v>3138421525</v>
      </c>
      <c r="E10" s="1" t="s">
        <v>30</v>
      </c>
      <c r="F10" s="1">
        <v>19</v>
      </c>
      <c r="G10" s="1">
        <v>81</v>
      </c>
      <c r="H10" s="1">
        <v>75</v>
      </c>
      <c r="I10" s="2">
        <f t="shared" si="0"/>
        <v>175</v>
      </c>
      <c r="J10" s="2">
        <f t="shared" si="1"/>
        <v>10</v>
      </c>
      <c r="K10" s="2" t="str">
        <f t="shared" si="2"/>
        <v>1-10</v>
      </c>
    </row>
    <row r="11" spans="1:16" ht="15.6" x14ac:dyDescent="0.3">
      <c r="A11" s="1">
        <v>10</v>
      </c>
      <c r="B11" s="1" t="s">
        <v>31</v>
      </c>
      <c r="C11" s="1" t="s">
        <v>17</v>
      </c>
      <c r="D11" s="1">
        <v>3302022536</v>
      </c>
      <c r="E11" s="1" t="s">
        <v>32</v>
      </c>
      <c r="F11" s="1">
        <v>13</v>
      </c>
      <c r="G11" s="1">
        <v>13</v>
      </c>
      <c r="H11" s="1">
        <v>48</v>
      </c>
      <c r="I11" s="2">
        <f t="shared" si="0"/>
        <v>74</v>
      </c>
      <c r="J11" s="2">
        <f t="shared" si="1"/>
        <v>19</v>
      </c>
      <c r="K11" s="2" t="str">
        <f t="shared" si="2"/>
        <v>11-20</v>
      </c>
    </row>
    <row r="12" spans="1:16" ht="15.6" x14ac:dyDescent="0.3">
      <c r="A12" s="1">
        <v>11</v>
      </c>
      <c r="B12" s="1" t="s">
        <v>33</v>
      </c>
      <c r="C12" s="1" t="s">
        <v>12</v>
      </c>
      <c r="D12" s="1">
        <v>3046630514</v>
      </c>
      <c r="E12" s="1" t="s">
        <v>34</v>
      </c>
      <c r="F12" s="1">
        <v>12</v>
      </c>
      <c r="G12" s="1">
        <v>3</v>
      </c>
      <c r="H12" s="1">
        <v>42</v>
      </c>
      <c r="I12" s="2">
        <f t="shared" si="0"/>
        <v>57</v>
      </c>
      <c r="J12" s="2">
        <f t="shared" si="1"/>
        <v>20</v>
      </c>
      <c r="K12" s="2" t="str">
        <f t="shared" si="2"/>
        <v>11-20</v>
      </c>
    </row>
    <row r="13" spans="1:16" ht="15.6" x14ac:dyDescent="0.3">
      <c r="A13" s="1">
        <v>12</v>
      </c>
      <c r="B13" s="1" t="s">
        <v>35</v>
      </c>
      <c r="C13" s="1" t="s">
        <v>17</v>
      </c>
      <c r="D13" s="1">
        <v>4098013775</v>
      </c>
      <c r="E13" s="1" t="s">
        <v>36</v>
      </c>
      <c r="F13" s="3">
        <v>81</v>
      </c>
      <c r="G13" s="1">
        <v>85</v>
      </c>
      <c r="H13" s="1">
        <v>70</v>
      </c>
      <c r="I13" s="2">
        <f t="shared" si="0"/>
        <v>236</v>
      </c>
      <c r="J13" s="2">
        <f t="shared" si="1"/>
        <v>2</v>
      </c>
      <c r="K13" s="2" t="str">
        <f t="shared" si="2"/>
        <v>1-10</v>
      </c>
    </row>
    <row r="14" spans="1:16" ht="15.6" x14ac:dyDescent="0.3">
      <c r="A14" s="1">
        <v>13</v>
      </c>
      <c r="B14" s="1" t="s">
        <v>37</v>
      </c>
      <c r="C14" s="1" t="s">
        <v>17</v>
      </c>
      <c r="D14" s="1">
        <v>4884429201</v>
      </c>
      <c r="E14" s="1" t="s">
        <v>38</v>
      </c>
      <c r="F14" s="1">
        <v>98</v>
      </c>
      <c r="G14" s="1">
        <v>93</v>
      </c>
      <c r="H14" s="1">
        <v>95</v>
      </c>
      <c r="I14" s="2">
        <f t="shared" si="0"/>
        <v>286</v>
      </c>
      <c r="J14" s="2">
        <f t="shared" si="1"/>
        <v>1</v>
      </c>
      <c r="K14" s="2" t="str">
        <f t="shared" si="2"/>
        <v>1-10</v>
      </c>
    </row>
    <row r="15" spans="1:16" ht="15.6" x14ac:dyDescent="0.3">
      <c r="A15" s="1">
        <v>14</v>
      </c>
      <c r="B15" s="1" t="s">
        <v>39</v>
      </c>
      <c r="C15" s="1" t="s">
        <v>12</v>
      </c>
      <c r="D15" s="1">
        <v>6015978230</v>
      </c>
      <c r="E15" s="1" t="s">
        <v>40</v>
      </c>
      <c r="F15" s="1">
        <v>63</v>
      </c>
      <c r="G15" s="1">
        <v>54</v>
      </c>
      <c r="H15" s="1">
        <v>9</v>
      </c>
      <c r="I15" s="2">
        <f t="shared" si="0"/>
        <v>126</v>
      </c>
      <c r="J15" s="2">
        <f t="shared" si="1"/>
        <v>14</v>
      </c>
      <c r="K15" s="2" t="str">
        <f t="shared" si="2"/>
        <v>11-20</v>
      </c>
    </row>
    <row r="16" spans="1:16" ht="15.6" x14ac:dyDescent="0.3">
      <c r="A16" s="1">
        <v>15</v>
      </c>
      <c r="B16" s="1" t="s">
        <v>41</v>
      </c>
      <c r="C16" s="1" t="s">
        <v>12</v>
      </c>
      <c r="D16" s="1">
        <v>6449971492</v>
      </c>
      <c r="E16" s="1" t="s">
        <v>42</v>
      </c>
      <c r="F16" s="1">
        <v>36</v>
      </c>
      <c r="G16" s="1">
        <v>50</v>
      </c>
      <c r="H16" s="1">
        <v>48</v>
      </c>
      <c r="I16" s="2">
        <f t="shared" si="0"/>
        <v>134</v>
      </c>
      <c r="J16" s="2">
        <f t="shared" si="1"/>
        <v>13</v>
      </c>
      <c r="K16" s="2" t="str">
        <f t="shared" si="2"/>
        <v>11-20</v>
      </c>
    </row>
    <row r="17" spans="1:11" ht="15.6" x14ac:dyDescent="0.3">
      <c r="A17" s="1">
        <v>16</v>
      </c>
      <c r="B17" s="1" t="s">
        <v>43</v>
      </c>
      <c r="C17" s="1" t="s">
        <v>17</v>
      </c>
      <c r="D17" s="1">
        <v>5197340734</v>
      </c>
      <c r="E17" s="1" t="s">
        <v>44</v>
      </c>
      <c r="F17" s="1">
        <v>86</v>
      </c>
      <c r="G17" s="1">
        <v>74</v>
      </c>
      <c r="H17" s="1">
        <v>64</v>
      </c>
      <c r="I17" s="2">
        <f t="shared" si="0"/>
        <v>224</v>
      </c>
      <c r="J17" s="2">
        <f t="shared" si="1"/>
        <v>3</v>
      </c>
      <c r="K17" s="2" t="str">
        <f t="shared" si="2"/>
        <v>1-10</v>
      </c>
    </row>
    <row r="18" spans="1:11" ht="15.6" x14ac:dyDescent="0.3">
      <c r="A18" s="1">
        <v>17</v>
      </c>
      <c r="B18" s="1" t="s">
        <v>45</v>
      </c>
      <c r="C18" s="1" t="s">
        <v>17</v>
      </c>
      <c r="D18" s="1">
        <v>7075720417</v>
      </c>
      <c r="E18" s="1" t="s">
        <v>46</v>
      </c>
      <c r="F18" s="1">
        <v>69</v>
      </c>
      <c r="G18" s="1">
        <v>63</v>
      </c>
      <c r="H18" s="1">
        <v>86</v>
      </c>
      <c r="I18" s="2">
        <f t="shared" si="0"/>
        <v>218</v>
      </c>
      <c r="J18" s="2">
        <f t="shared" si="1"/>
        <v>5</v>
      </c>
      <c r="K18" s="2" t="str">
        <f t="shared" si="2"/>
        <v>1-10</v>
      </c>
    </row>
    <row r="19" spans="1:11" ht="15.6" x14ac:dyDescent="0.3">
      <c r="A19" s="1">
        <v>18</v>
      </c>
      <c r="B19" s="1" t="s">
        <v>47</v>
      </c>
      <c r="C19" s="1" t="s">
        <v>17</v>
      </c>
      <c r="D19" s="1">
        <v>6404932859</v>
      </c>
      <c r="E19" s="1" t="s">
        <v>48</v>
      </c>
      <c r="F19" s="1">
        <v>13</v>
      </c>
      <c r="G19" s="1">
        <v>5</v>
      </c>
      <c r="H19" s="1">
        <v>63</v>
      </c>
      <c r="I19" s="2">
        <f t="shared" si="0"/>
        <v>81</v>
      </c>
      <c r="J19" s="2">
        <f t="shared" si="1"/>
        <v>18</v>
      </c>
      <c r="K19" s="2" t="str">
        <f t="shared" si="2"/>
        <v>11-20</v>
      </c>
    </row>
    <row r="20" spans="1:11" ht="15.6" x14ac:dyDescent="0.3">
      <c r="A20" s="1">
        <v>19</v>
      </c>
      <c r="B20" s="1" t="s">
        <v>49</v>
      </c>
      <c r="C20" s="1" t="s">
        <v>17</v>
      </c>
      <c r="D20" s="1">
        <v>7114166077</v>
      </c>
      <c r="E20" s="1" t="s">
        <v>50</v>
      </c>
      <c r="F20" s="1">
        <v>99</v>
      </c>
      <c r="G20" s="1">
        <v>31</v>
      </c>
      <c r="H20" s="1">
        <v>34</v>
      </c>
      <c r="I20" s="2">
        <f t="shared" si="0"/>
        <v>164</v>
      </c>
      <c r="J20" s="2">
        <f t="shared" si="1"/>
        <v>11</v>
      </c>
      <c r="K20" s="2" t="str">
        <f t="shared" si="2"/>
        <v>11-20</v>
      </c>
    </row>
    <row r="21" spans="1:11" ht="15.6" x14ac:dyDescent="0.3">
      <c r="A21" s="1">
        <v>20</v>
      </c>
      <c r="B21" s="1" t="s">
        <v>51</v>
      </c>
      <c r="C21" s="1" t="s">
        <v>17</v>
      </c>
      <c r="D21" s="1">
        <v>7855065742</v>
      </c>
      <c r="E21" s="1" t="s">
        <v>52</v>
      </c>
      <c r="F21" s="1">
        <v>2</v>
      </c>
      <c r="G21" s="1">
        <v>52</v>
      </c>
      <c r="H21" s="1">
        <v>92</v>
      </c>
      <c r="I21" s="2">
        <f t="shared" si="0"/>
        <v>146</v>
      </c>
      <c r="J21" s="2">
        <f t="shared" si="1"/>
        <v>12</v>
      </c>
      <c r="K21" s="2" t="str">
        <f t="shared" si="2"/>
        <v>11-20</v>
      </c>
    </row>
  </sheetData>
  <autoFilter ref="A1:K21" xr:uid="{5BB3E4B6-21C1-459F-8CB1-6ABCED0181C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D6DCD-D744-4FDE-B329-D97232647C65}">
  <dimension ref="A1:E96"/>
  <sheetViews>
    <sheetView zoomScale="77" zoomScaleNormal="77" workbookViewId="0">
      <selection activeCell="D81" sqref="D81"/>
    </sheetView>
  </sheetViews>
  <sheetFormatPr defaultRowHeight="14.4" x14ac:dyDescent="0.3"/>
  <cols>
    <col min="1" max="1" width="15" bestFit="1" customWidth="1"/>
    <col min="2" max="2" width="16.21875" bestFit="1" customWidth="1"/>
    <col min="3" max="3" width="5.6640625" bestFit="1" customWidth="1"/>
    <col min="4" max="4" width="11.109375" bestFit="1" customWidth="1"/>
    <col min="5" max="5" width="11.21875" bestFit="1" customWidth="1"/>
    <col min="6" max="10" width="2" bestFit="1" customWidth="1"/>
    <col min="11" max="21" width="3" bestFit="1" customWidth="1"/>
    <col min="22" max="22" width="11.109375" bestFit="1" customWidth="1"/>
  </cols>
  <sheetData>
    <row r="1" spans="1:4" x14ac:dyDescent="0.3">
      <c r="A1" s="6" t="s">
        <v>61</v>
      </c>
      <c r="B1" s="6" t="s">
        <v>59</v>
      </c>
    </row>
    <row r="2" spans="1:4" x14ac:dyDescent="0.3">
      <c r="A2" s="6" t="s">
        <v>57</v>
      </c>
      <c r="B2" t="s">
        <v>53</v>
      </c>
      <c r="C2" t="s">
        <v>54</v>
      </c>
      <c r="D2" t="s">
        <v>58</v>
      </c>
    </row>
    <row r="3" spans="1:4" x14ac:dyDescent="0.3">
      <c r="A3" s="7" t="s">
        <v>12</v>
      </c>
      <c r="B3" s="9">
        <v>222</v>
      </c>
      <c r="C3" s="9">
        <v>110.6</v>
      </c>
      <c r="D3" s="9">
        <v>129.16666666666666</v>
      </c>
    </row>
    <row r="4" spans="1:4" x14ac:dyDescent="0.3">
      <c r="A4" s="7" t="s">
        <v>17</v>
      </c>
      <c r="B4" s="9">
        <v>213.11111111111111</v>
      </c>
      <c r="C4" s="9">
        <v>112.8</v>
      </c>
      <c r="D4" s="9">
        <v>177.28571428571428</v>
      </c>
    </row>
    <row r="5" spans="1:4" x14ac:dyDescent="0.3">
      <c r="A5" s="7" t="s">
        <v>58</v>
      </c>
      <c r="B5" s="9">
        <v>214</v>
      </c>
      <c r="C5" s="9">
        <v>111.7</v>
      </c>
      <c r="D5" s="9">
        <v>162.85</v>
      </c>
    </row>
    <row r="18" spans="1:4" x14ac:dyDescent="0.3">
      <c r="A18" s="6" t="s">
        <v>57</v>
      </c>
      <c r="B18" t="s">
        <v>65</v>
      </c>
      <c r="C18" t="s">
        <v>66</v>
      </c>
      <c r="D18" t="s">
        <v>67</v>
      </c>
    </row>
    <row r="19" spans="1:4" x14ac:dyDescent="0.3">
      <c r="A19" s="7" t="s">
        <v>12</v>
      </c>
      <c r="B19" s="9">
        <v>35</v>
      </c>
      <c r="C19" s="9">
        <v>38.333333333333336</v>
      </c>
      <c r="D19" s="9">
        <v>55.833333333333336</v>
      </c>
    </row>
    <row r="20" spans="1:4" x14ac:dyDescent="0.3">
      <c r="A20" s="7" t="s">
        <v>17</v>
      </c>
      <c r="B20" s="9">
        <v>55.857142857142854</v>
      </c>
      <c r="C20" s="9">
        <v>57.428571428571431</v>
      </c>
      <c r="D20" s="9">
        <v>64</v>
      </c>
    </row>
    <row r="21" spans="1:4" x14ac:dyDescent="0.3">
      <c r="A21" s="7" t="s">
        <v>58</v>
      </c>
      <c r="B21" s="9">
        <v>49.6</v>
      </c>
      <c r="C21" s="9">
        <v>51.7</v>
      </c>
      <c r="D21" s="9">
        <v>61.55</v>
      </c>
    </row>
    <row r="36" spans="1:4" x14ac:dyDescent="0.3">
      <c r="A36" s="6" t="s">
        <v>68</v>
      </c>
      <c r="B36" s="6" t="s">
        <v>59</v>
      </c>
    </row>
    <row r="37" spans="1:4" x14ac:dyDescent="0.3">
      <c r="A37" s="6" t="s">
        <v>57</v>
      </c>
      <c r="B37" t="s">
        <v>53</v>
      </c>
      <c r="C37" t="s">
        <v>54</v>
      </c>
      <c r="D37" t="s">
        <v>58</v>
      </c>
    </row>
    <row r="38" spans="1:4" x14ac:dyDescent="0.3">
      <c r="A38" s="7" t="s">
        <v>12</v>
      </c>
      <c r="B38">
        <v>1</v>
      </c>
      <c r="C38">
        <v>5</v>
      </c>
      <c r="D38">
        <v>6</v>
      </c>
    </row>
    <row r="39" spans="1:4" x14ac:dyDescent="0.3">
      <c r="A39" s="7" t="s">
        <v>17</v>
      </c>
      <c r="B39">
        <v>9</v>
      </c>
      <c r="C39">
        <v>5</v>
      </c>
      <c r="D39">
        <v>14</v>
      </c>
    </row>
    <row r="40" spans="1:4" x14ac:dyDescent="0.3">
      <c r="A40" s="7" t="s">
        <v>58</v>
      </c>
      <c r="B40">
        <v>10</v>
      </c>
      <c r="C40">
        <v>10</v>
      </c>
      <c r="D40">
        <v>20</v>
      </c>
    </row>
    <row r="55" spans="1:4" x14ac:dyDescent="0.3">
      <c r="A55" s="6" t="s">
        <v>57</v>
      </c>
      <c r="B55" t="s">
        <v>62</v>
      </c>
      <c r="C55" t="s">
        <v>64</v>
      </c>
      <c r="D55" t="s">
        <v>63</v>
      </c>
    </row>
    <row r="56" spans="1:4" x14ac:dyDescent="0.3">
      <c r="A56" s="7" t="s">
        <v>53</v>
      </c>
      <c r="B56">
        <v>733</v>
      </c>
      <c r="C56">
        <v>656</v>
      </c>
      <c r="D56">
        <v>751</v>
      </c>
    </row>
    <row r="57" spans="1:4" x14ac:dyDescent="0.3">
      <c r="A57" s="7" t="s">
        <v>54</v>
      </c>
      <c r="B57">
        <v>259</v>
      </c>
      <c r="C57">
        <v>575</v>
      </c>
      <c r="D57">
        <v>283</v>
      </c>
    </row>
    <row r="58" spans="1:4" x14ac:dyDescent="0.3">
      <c r="A58" s="7" t="s">
        <v>58</v>
      </c>
      <c r="B58">
        <v>992</v>
      </c>
      <c r="C58">
        <v>1231</v>
      </c>
      <c r="D58">
        <v>1034</v>
      </c>
    </row>
    <row r="73" spans="1:5" x14ac:dyDescent="0.3">
      <c r="D73" s="8"/>
      <c r="E73" s="8"/>
    </row>
    <row r="74" spans="1:5" x14ac:dyDescent="0.3">
      <c r="D74" s="7"/>
    </row>
    <row r="75" spans="1:5" x14ac:dyDescent="0.3">
      <c r="A75" s="6" t="s">
        <v>57</v>
      </c>
      <c r="B75" t="s">
        <v>60</v>
      </c>
      <c r="D75" s="8" t="s">
        <v>57</v>
      </c>
      <c r="E75" s="8" t="s">
        <v>60</v>
      </c>
    </row>
    <row r="76" spans="1:5" x14ac:dyDescent="0.3">
      <c r="A76" s="7" t="s">
        <v>37</v>
      </c>
      <c r="B76">
        <v>286</v>
      </c>
      <c r="D76" s="7" t="s">
        <v>37</v>
      </c>
      <c r="E76">
        <v>286</v>
      </c>
    </row>
    <row r="77" spans="1:5" x14ac:dyDescent="0.3">
      <c r="A77" s="7" t="s">
        <v>35</v>
      </c>
      <c r="B77">
        <v>236</v>
      </c>
      <c r="D77" s="7" t="s">
        <v>35</v>
      </c>
      <c r="E77">
        <v>236</v>
      </c>
    </row>
    <row r="78" spans="1:5" x14ac:dyDescent="0.3">
      <c r="A78" s="7" t="s">
        <v>43</v>
      </c>
      <c r="B78">
        <v>224</v>
      </c>
      <c r="D78" s="7" t="s">
        <v>43</v>
      </c>
      <c r="E78">
        <v>224</v>
      </c>
    </row>
    <row r="79" spans="1:5" x14ac:dyDescent="0.3">
      <c r="A79" s="7" t="s">
        <v>14</v>
      </c>
      <c r="B79">
        <v>222</v>
      </c>
    </row>
    <row r="80" spans="1:5" x14ac:dyDescent="0.3">
      <c r="A80" s="7" t="s">
        <v>45</v>
      </c>
      <c r="B80">
        <v>218</v>
      </c>
    </row>
    <row r="81" spans="1:5" x14ac:dyDescent="0.3">
      <c r="A81" s="7" t="s">
        <v>27</v>
      </c>
      <c r="B81">
        <v>214</v>
      </c>
    </row>
    <row r="82" spans="1:5" x14ac:dyDescent="0.3">
      <c r="A82" s="7" t="s">
        <v>25</v>
      </c>
      <c r="B82">
        <v>200</v>
      </c>
    </row>
    <row r="83" spans="1:5" x14ac:dyDescent="0.3">
      <c r="A83" s="7" t="s">
        <v>16</v>
      </c>
      <c r="B83">
        <v>185</v>
      </c>
    </row>
    <row r="84" spans="1:5" x14ac:dyDescent="0.3">
      <c r="A84" s="7" t="s">
        <v>21</v>
      </c>
      <c r="B84">
        <v>180</v>
      </c>
      <c r="D84" s="7"/>
    </row>
    <row r="85" spans="1:5" x14ac:dyDescent="0.3">
      <c r="A85" s="7" t="s">
        <v>29</v>
      </c>
      <c r="B85">
        <v>175</v>
      </c>
      <c r="D85" s="7"/>
    </row>
    <row r="86" spans="1:5" x14ac:dyDescent="0.3">
      <c r="A86" s="7" t="s">
        <v>49</v>
      </c>
      <c r="B86">
        <v>164</v>
      </c>
      <c r="D86" s="7"/>
    </row>
    <row r="87" spans="1:5" x14ac:dyDescent="0.3">
      <c r="A87" s="7" t="s">
        <v>51</v>
      </c>
      <c r="B87">
        <v>146</v>
      </c>
    </row>
    <row r="88" spans="1:5" x14ac:dyDescent="0.3">
      <c r="A88" s="7" t="s">
        <v>41</v>
      </c>
      <c r="B88">
        <v>134</v>
      </c>
    </row>
    <row r="89" spans="1:5" x14ac:dyDescent="0.3">
      <c r="A89" s="7" t="s">
        <v>39</v>
      </c>
      <c r="B89">
        <v>126</v>
      </c>
    </row>
    <row r="90" spans="1:5" x14ac:dyDescent="0.3">
      <c r="A90" s="7" t="s">
        <v>23</v>
      </c>
      <c r="B90">
        <v>125</v>
      </c>
      <c r="D90" s="8" t="s">
        <v>57</v>
      </c>
      <c r="E90" s="8" t="s">
        <v>60</v>
      </c>
    </row>
    <row r="91" spans="1:5" x14ac:dyDescent="0.3">
      <c r="A91" s="7" t="s">
        <v>11</v>
      </c>
      <c r="B91">
        <v>111</v>
      </c>
      <c r="D91" s="7" t="s">
        <v>47</v>
      </c>
      <c r="E91">
        <v>81</v>
      </c>
    </row>
    <row r="92" spans="1:5" x14ac:dyDescent="0.3">
      <c r="A92" s="7" t="s">
        <v>19</v>
      </c>
      <c r="B92">
        <v>99</v>
      </c>
      <c r="D92" s="7" t="s">
        <v>31</v>
      </c>
      <c r="E92">
        <v>74</v>
      </c>
    </row>
    <row r="93" spans="1:5" x14ac:dyDescent="0.3">
      <c r="A93" s="7" t="s">
        <v>47</v>
      </c>
      <c r="B93">
        <v>81</v>
      </c>
      <c r="D93" s="7" t="s">
        <v>33</v>
      </c>
      <c r="E93">
        <v>57</v>
      </c>
    </row>
    <row r="94" spans="1:5" x14ac:dyDescent="0.3">
      <c r="A94" s="7" t="s">
        <v>31</v>
      </c>
      <c r="B94">
        <v>74</v>
      </c>
    </row>
    <row r="95" spans="1:5" x14ac:dyDescent="0.3">
      <c r="A95" s="7" t="s">
        <v>33</v>
      </c>
      <c r="B95">
        <v>57</v>
      </c>
    </row>
    <row r="96" spans="1:5" x14ac:dyDescent="0.3">
      <c r="A96" s="7" t="s">
        <v>58</v>
      </c>
      <c r="B96">
        <v>3257</v>
      </c>
    </row>
  </sheetData>
  <conditionalFormatting sqref="A73:B73 A74:A75 A93:A94">
    <cfRule type="top10" dxfId="32" priority="35" rank="3"/>
  </conditionalFormatting>
  <conditionalFormatting sqref="A74:A75 A93">
    <cfRule type="top10" dxfId="31" priority="34" bottom="1" rank="3"/>
  </conditionalFormatting>
  <conditionalFormatting sqref="E74">
    <cfRule type="top10" dxfId="30" priority="30" rank="3"/>
  </conditionalFormatting>
  <conditionalFormatting sqref="D73:E73 D74">
    <cfRule type="top10" dxfId="29" priority="29" rank="3"/>
  </conditionalFormatting>
  <conditionalFormatting sqref="D74">
    <cfRule type="top10" dxfId="28" priority="28" bottom="1" rank="3"/>
  </conditionalFormatting>
  <conditionalFormatting sqref="E74">
    <cfRule type="top10" dxfId="27" priority="27" bottom="1" rank="3"/>
  </conditionalFormatting>
  <conditionalFormatting sqref="E74">
    <cfRule type="top10" dxfId="26" priority="26" rank="3"/>
  </conditionalFormatting>
  <conditionalFormatting sqref="E84:E86">
    <cfRule type="top10" dxfId="25" priority="25" rank="3"/>
  </conditionalFormatting>
  <conditionalFormatting sqref="D84:D86">
    <cfRule type="top10" dxfId="24" priority="24" rank="3"/>
  </conditionalFormatting>
  <conditionalFormatting sqref="D84:D86">
    <cfRule type="top10" dxfId="23" priority="23" bottom="1" rank="3"/>
  </conditionalFormatting>
  <conditionalFormatting sqref="E84:E86">
    <cfRule type="top10" dxfId="22" priority="22" bottom="1" rank="3"/>
  </conditionalFormatting>
  <conditionalFormatting sqref="E84:E86">
    <cfRule type="top10" dxfId="21" priority="21" rank="3"/>
  </conditionalFormatting>
  <conditionalFormatting sqref="E74 E84:E86">
    <cfRule type="top10" dxfId="20" priority="40" bottom="1" rank="3"/>
    <cfRule type="top10" dxfId="19" priority="41" rank="3"/>
  </conditionalFormatting>
  <conditionalFormatting pivot="1" sqref="B76:B95">
    <cfRule type="top10" dxfId="18" priority="17" rank="3"/>
  </conditionalFormatting>
  <conditionalFormatting pivot="1" sqref="B76:B95">
    <cfRule type="top10" dxfId="17" priority="16" bottom="1" rank="3"/>
  </conditionalFormatting>
  <conditionalFormatting sqref="D75">
    <cfRule type="top10" dxfId="16" priority="15" rank="3"/>
  </conditionalFormatting>
  <conditionalFormatting sqref="D75">
    <cfRule type="top10" dxfId="15" priority="14" bottom="1" rank="3"/>
  </conditionalFormatting>
  <conditionalFormatting sqref="E76:E78">
    <cfRule type="top10" dxfId="14" priority="13" rank="3"/>
  </conditionalFormatting>
  <conditionalFormatting sqref="E76:E78">
    <cfRule type="top10" dxfId="13" priority="12" bottom="1" rank="3"/>
  </conditionalFormatting>
  <conditionalFormatting sqref="D75:E78">
    <cfRule type="top10" dxfId="12" priority="11" rank="3"/>
  </conditionalFormatting>
  <conditionalFormatting sqref="D90">
    <cfRule type="top10" dxfId="11" priority="10" rank="3"/>
  </conditionalFormatting>
  <conditionalFormatting sqref="D90">
    <cfRule type="top10" dxfId="10" priority="9" bottom="1" rank="3"/>
  </conditionalFormatting>
  <conditionalFormatting sqref="E91:E93">
    <cfRule type="top10" dxfId="9" priority="1" bottom="1" rank="10"/>
    <cfRule type="top10" dxfId="8" priority="2" percent="1" bottom="1" rank="3"/>
    <cfRule type="top10" dxfId="7" priority="8" rank="3"/>
  </conditionalFormatting>
  <conditionalFormatting sqref="E91:E93">
    <cfRule type="top10" dxfId="6" priority="7" bottom="1" rank="3"/>
  </conditionalFormatting>
  <conditionalFormatting sqref="D90:E90 E91:E93">
    <cfRule type="top10" dxfId="5" priority="6" rank="3"/>
  </conditionalFormatting>
  <conditionalFormatting sqref="D91">
    <cfRule type="top10" dxfId="4" priority="5" rank="3"/>
  </conditionalFormatting>
  <conditionalFormatting sqref="D91">
    <cfRule type="top10" dxfId="3" priority="4" bottom="1" rank="3"/>
  </conditionalFormatting>
  <conditionalFormatting sqref="D92">
    <cfRule type="top10" dxfId="2" priority="3" rank="3"/>
  </conditionalFormatting>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1AC2F-4BC4-4021-AFDF-1480528B9094}">
  <dimension ref="A1:U21"/>
  <sheetViews>
    <sheetView showGridLines="0" topLeftCell="A7" zoomScale="50" zoomScaleNormal="54" workbookViewId="0">
      <selection activeCell="U55" sqref="U55"/>
    </sheetView>
  </sheetViews>
  <sheetFormatPr defaultRowHeight="14.4" x14ac:dyDescent="0.3"/>
  <sheetData>
    <row r="1" spans="1:17" ht="14.4" customHeight="1" x14ac:dyDescent="0.3">
      <c r="A1" s="11" t="s">
        <v>69</v>
      </c>
      <c r="B1" s="11"/>
      <c r="C1" s="11"/>
      <c r="D1" s="11"/>
      <c r="E1" s="11"/>
      <c r="F1" s="11"/>
      <c r="G1" s="11"/>
      <c r="H1" s="11"/>
      <c r="I1" s="11"/>
      <c r="J1" s="11"/>
      <c r="K1" s="11"/>
      <c r="L1" s="11"/>
      <c r="M1" s="11"/>
      <c r="N1" s="11"/>
      <c r="O1" s="11"/>
      <c r="P1" s="11"/>
      <c r="Q1" s="11"/>
    </row>
    <row r="2" spans="1:17" ht="14.4" customHeight="1" x14ac:dyDescent="0.3">
      <c r="A2" s="11"/>
      <c r="B2" s="11"/>
      <c r="C2" s="11"/>
      <c r="D2" s="11"/>
      <c r="E2" s="11"/>
      <c r="F2" s="11"/>
      <c r="G2" s="11"/>
      <c r="H2" s="11"/>
      <c r="I2" s="11"/>
      <c r="J2" s="11"/>
      <c r="K2" s="11"/>
      <c r="L2" s="11"/>
      <c r="M2" s="11"/>
      <c r="N2" s="11"/>
      <c r="O2" s="11"/>
      <c r="P2" s="11"/>
      <c r="Q2" s="11"/>
    </row>
    <row r="3" spans="1:17" ht="14.4" customHeight="1" x14ac:dyDescent="0.3">
      <c r="A3" s="11"/>
      <c r="B3" s="11"/>
      <c r="C3" s="11"/>
      <c r="D3" s="11"/>
      <c r="E3" s="11"/>
      <c r="F3" s="11"/>
      <c r="G3" s="11"/>
      <c r="H3" s="11"/>
      <c r="I3" s="11"/>
      <c r="J3" s="11"/>
      <c r="K3" s="11"/>
      <c r="L3" s="11"/>
      <c r="M3" s="11"/>
      <c r="N3" s="11"/>
      <c r="O3" s="11"/>
      <c r="P3" s="11"/>
      <c r="Q3" s="11"/>
    </row>
    <row r="4" spans="1:17" ht="14.4" customHeight="1" x14ac:dyDescent="0.3">
      <c r="A4" s="11"/>
      <c r="B4" s="11"/>
      <c r="C4" s="11"/>
      <c r="D4" s="11"/>
      <c r="E4" s="11"/>
      <c r="F4" s="11"/>
      <c r="G4" s="11"/>
      <c r="H4" s="11"/>
      <c r="I4" s="11"/>
      <c r="J4" s="11"/>
      <c r="K4" s="11"/>
      <c r="L4" s="11"/>
      <c r="M4" s="11"/>
      <c r="N4" s="11"/>
      <c r="O4" s="11"/>
      <c r="P4" s="11"/>
      <c r="Q4" s="11"/>
    </row>
    <row r="5" spans="1:17" ht="14.4" customHeight="1" x14ac:dyDescent="0.3">
      <c r="A5" s="11"/>
      <c r="B5" s="11"/>
      <c r="C5" s="11"/>
      <c r="D5" s="11"/>
      <c r="E5" s="11"/>
      <c r="F5" s="11"/>
      <c r="G5" s="11"/>
      <c r="H5" s="11"/>
      <c r="I5" s="11"/>
      <c r="J5" s="11"/>
      <c r="K5" s="11"/>
      <c r="L5" s="11"/>
      <c r="M5" s="11"/>
      <c r="N5" s="11"/>
      <c r="O5" s="11"/>
      <c r="P5" s="11"/>
      <c r="Q5" s="11"/>
    </row>
    <row r="7" spans="1:17" x14ac:dyDescent="0.3">
      <c r="A7" s="12" t="s">
        <v>70</v>
      </c>
      <c r="B7" s="13"/>
      <c r="C7" s="13"/>
      <c r="D7" s="13"/>
      <c r="E7" s="13"/>
      <c r="G7" s="12" t="s">
        <v>71</v>
      </c>
      <c r="H7" s="13"/>
      <c r="I7" s="13"/>
      <c r="J7" s="13"/>
      <c r="K7" s="13"/>
      <c r="M7" s="12" t="s">
        <v>72</v>
      </c>
      <c r="N7" s="13"/>
      <c r="O7" s="13"/>
      <c r="P7" s="13"/>
      <c r="Q7" s="13"/>
    </row>
    <row r="8" spans="1:17" x14ac:dyDescent="0.3">
      <c r="A8" s="13"/>
      <c r="B8" s="13"/>
      <c r="C8" s="13"/>
      <c r="D8" s="13"/>
      <c r="E8" s="13"/>
      <c r="G8" s="13"/>
      <c r="H8" s="13"/>
      <c r="I8" s="13"/>
      <c r="J8" s="13"/>
      <c r="K8" s="13"/>
      <c r="M8" s="13"/>
      <c r="N8" s="13"/>
      <c r="O8" s="13"/>
      <c r="P8" s="13"/>
      <c r="Q8" s="13"/>
    </row>
    <row r="9" spans="1:17" x14ac:dyDescent="0.3">
      <c r="A9" s="13"/>
      <c r="B9" s="13"/>
      <c r="C9" s="13"/>
      <c r="D9" s="13"/>
      <c r="E9" s="13"/>
      <c r="G9" s="13"/>
      <c r="H9" s="13"/>
      <c r="I9" s="13"/>
      <c r="J9" s="13"/>
      <c r="K9" s="13"/>
      <c r="M9" s="13"/>
      <c r="N9" s="13"/>
      <c r="O9" s="13"/>
      <c r="P9" s="13"/>
      <c r="Q9" s="13"/>
    </row>
    <row r="10" spans="1:17" x14ac:dyDescent="0.3">
      <c r="A10" s="13"/>
      <c r="B10" s="13"/>
      <c r="C10" s="13"/>
      <c r="D10" s="13"/>
      <c r="E10" s="13"/>
      <c r="G10" s="13"/>
      <c r="H10" s="13"/>
      <c r="I10" s="13"/>
      <c r="J10" s="13"/>
      <c r="K10" s="13"/>
      <c r="M10" s="13"/>
      <c r="N10" s="13"/>
      <c r="O10" s="13"/>
      <c r="P10" s="13"/>
      <c r="Q10" s="13"/>
    </row>
    <row r="21" spans="21:21" x14ac:dyDescent="0.3">
      <c r="U21" s="10"/>
    </row>
  </sheetData>
  <mergeCells count="4">
    <mergeCell ref="A1:Q5"/>
    <mergeCell ref="A7:E10"/>
    <mergeCell ref="G7:K10"/>
    <mergeCell ref="M7:Q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Lakshitha Govindarajan</dc:creator>
  <cp:lastModifiedBy>Lakshitha Govindarajan</cp:lastModifiedBy>
  <dcterms:created xsi:type="dcterms:W3CDTF">2026-05-03T13:18:00Z</dcterms:created>
  <dcterms:modified xsi:type="dcterms:W3CDTF">2026-06-24T17:38:44Z</dcterms:modified>
</cp:coreProperties>
</file>